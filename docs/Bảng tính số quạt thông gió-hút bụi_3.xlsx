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E:\2-Định vị winline\Thiết kế website\"/>
    </mc:Choice>
  </mc:AlternateContent>
  <xr:revisionPtr revIDLastSave="0" documentId="13_ncr:1_{78C064DE-D38B-422C-936D-C551829E7BD4}" xr6:coauthVersionLast="47" xr6:coauthVersionMax="47" xr10:uidLastSave="{00000000-0000-0000-0000-000000000000}"/>
  <bookViews>
    <workbookView xWindow="-108" yWindow="-108" windowWidth="30936" windowHeight="16776" xr2:uid="{00000000-000D-0000-FFFF-FFFF00000000}"/>
  </bookViews>
  <sheets>
    <sheet name="Phụ lục G" sheetId="2" r:id="rId1"/>
    <sheet name="Làm mát áp suất âm" sheetId="3" r:id="rId2"/>
    <sheet name="Hút khói bụi, thông gió" sheetId="4" r:id="rId3"/>
    <sheet name="Danh sách quạt thông gió" sheetId="5" r:id="rId4"/>
  </sheets>
  <definedNames>
    <definedName name="_xlnm._FilterDatabase" localSheetId="3" hidden="1">'Danh sách quạt thông gió'!$A$2:$L$165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4" l="1"/>
  <c r="H11" i="4" s="1"/>
  <c r="E12" i="4"/>
  <c r="H12" i="4" s="1"/>
  <c r="E13" i="4"/>
  <c r="H13" i="4" s="1"/>
  <c r="E14" i="4"/>
  <c r="H14" i="4" s="1"/>
  <c r="E15" i="4"/>
  <c r="H15" i="4" s="1"/>
  <c r="E16" i="4"/>
  <c r="H16" i="4" s="1"/>
  <c r="E17" i="4"/>
  <c r="H17" i="4" s="1"/>
  <c r="E18" i="4"/>
  <c r="H18" i="4" s="1"/>
  <c r="E19" i="4"/>
  <c r="H19" i="4" s="1"/>
  <c r="E20" i="4"/>
  <c r="H20" i="4" s="1"/>
  <c r="E21" i="4"/>
  <c r="H21" i="4" s="1"/>
  <c r="E22" i="4"/>
  <c r="H22" i="4" s="1"/>
  <c r="E23" i="4"/>
  <c r="H23" i="4" s="1"/>
  <c r="E24" i="4"/>
  <c r="H24" i="4" s="1"/>
  <c r="C10" i="4"/>
  <c r="E10" i="4" s="1"/>
  <c r="H10" i="4" s="1"/>
  <c r="C9" i="4"/>
  <c r="E9" i="4" s="1"/>
  <c r="H9" i="4" s="1"/>
</calcChain>
</file>

<file path=xl/sharedStrings.xml><?xml version="1.0" encoding="utf-8"?>
<sst xmlns="http://schemas.openxmlformats.org/spreadsheetml/2006/main" count="1798" uniqueCount="485">
  <si>
    <t>4</t>
  </si>
  <si>
    <t>20</t>
  </si>
  <si>
    <t>(Quy định)</t>
  </si>
  <si>
    <t>Lưu lượng không khí ngoài (gió tươi) cho các phòng được thông gió cơ khí</t>
  </si>
  <si>
    <t>Loại phòng, công trình</t>
  </si>
  <si>
    <t>Số lần (bội số) trao đổi không khí, lần/h</t>
  </si>
  <si>
    <t>Công sở</t>
  </si>
  <si>
    <t>6</t>
  </si>
  <si>
    <t>Nhà ở, phòng ngủ</t>
  </si>
  <si>
    <t>2-3</t>
  </si>
  <si>
    <t>Phòng ăn khách sạn, căng tin</t>
  </si>
  <si>
    <t>10</t>
  </si>
  <si>
    <t>Cửa hàng, siêu thị</t>
  </si>
  <si>
    <t>Xí nghiệp, nhà công nghiệp</t>
  </si>
  <si>
    <t>Phòng học</t>
  </si>
  <si>
    <t>8</t>
  </si>
  <si>
    <t>Phòng thí nghiệm</t>
  </si>
  <si>
    <t>10-12</t>
  </si>
  <si>
    <t>Thư viện</t>
  </si>
  <si>
    <t>5-6</t>
  </si>
  <si>
    <t>Bệnh viện</t>
  </si>
  <si>
    <t>6-8</t>
  </si>
  <si>
    <t>Nhà hát, rạp chiếu bóng</t>
  </si>
  <si>
    <t>Sảnh, hành lang, cầu thang, lối ra**</t>
  </si>
  <si>
    <t>Phòng tắm, phòng vệ sinh</t>
  </si>
  <si>
    <t>Phòng bếp (thương nghiệp, ký túc xá, xí nghiệp)</t>
  </si>
  <si>
    <t>Ga ra ô tô</t>
  </si>
  <si>
    <t>6*</t>
  </si>
  <si>
    <t>Trung tâm cứu hỏa</t>
  </si>
  <si>
    <t>Phòng máy bơm cấp thoát nước</t>
  </si>
  <si>
    <t>* Áp dụng đối với chiều cao phòng 2,5 m. Khi chiều cao phòng trên 2,5 m, phải tính theo tỷ lệ tăng của chiều cao;</t>
  </si>
  <si>
    <t>** Sảnh có diện tích dưới 10 m² không đòi hỏi phải có thông gió cơ khí.</t>
  </si>
  <si>
    <t>Đối với phòng trong tầng hầm, bội số trao đổi không khí có thể tăng thêm từ 20 % đến 50 %.</t>
  </si>
  <si>
    <t>1. Tính thể tích và lượng gió cần trao đổi</t>
  </si>
  <si>
    <t>3. Quy đổi ra số lượng tấm thực tế</t>
  </si>
  <si>
    <t>Số lượng tấm cần dùng:</t>
  </si>
  <si>
    <t>Thể tích nhà xưởng : dài x rộng x cao (bình quân)</t>
  </si>
  <si>
    <t xml:space="preserve">2. Tính diện tích tấm làm mát Cooling Pad </t>
  </si>
  <si>
    <t>Vận tốc gió qua tấm cooling pass: Tiêu chuẩn kỹ thuật tốt nhất qua màng giấy cooling pad là từ (2,0 - 2,5 m/s,tương đương khoảng 7.200 - 9.000 m3/h. lưu lượng gió cho mỗi 1 m2/ diện tích tấm.</t>
  </si>
  <si>
    <t>Công thức tính diện tích tấm cooling pass</t>
  </si>
  <si>
    <t>Lấy mức an toàn chọn vận tốc qua tấm tính theo lưu lượng thực tế quạt qua màng tiêu chuẩn 9.000 m3/h/ mỗi m²</t>
  </si>
  <si>
    <t>Lấy tổng số lưu lượng / 9000 để có tổng số mét vuông tấm cooling pass</t>
  </si>
  <si>
    <t>Kích thước tấm Cooling Pad phổ biến: dài 1.800mm, rộng 600mm, độ dày 150mm</t>
  </si>
  <si>
    <t>Diện tích bề mặt của 1 tấm: 1.8m*0.6m =1.08 m2</t>
  </si>
  <si>
    <t>Lấy số mét vuông tấm cần dùng chia cho số mét vuông 1 tấm</t>
  </si>
  <si>
    <t>Các bước tính toán chi tiết tính số lượng quạt và tấm cooling pass làm mát áp suất âm</t>
  </si>
  <si>
    <t>Hệ thống cần: Quạt hút công nghiệp, tấm làm mát cooling pass, bể nước, ống dẫn nước , máy bơm</t>
  </si>
  <si>
    <t>Xác định bội số trao đổi khí : 50-60 lần</t>
  </si>
  <si>
    <t>Tìm quạt có lưu lượng gió phù hợp : theo diện tích vách nhà xưởng để chọn kích thước quạt hay lưu lượng gió phù hợp</t>
  </si>
  <si>
    <t>Chia số tổng lưu lượng cần trao đổi khí cho số lưu lượng của quạt để ra số quạt</t>
  </si>
  <si>
    <t>Cách tính hệ thống làm mát áp suất âm</t>
  </si>
  <si>
    <t>Cách sử dụng</t>
  </si>
  <si>
    <t>1- Thêm diện tích (m2) vào cột diện tích cần làm mát</t>
  </si>
  <si>
    <t>2- Thêm chiều cao bình quân vào cột</t>
  </si>
  <si>
    <t>Diện tích cần làm mát (m2)</t>
  </si>
  <si>
    <r>
      <t xml:space="preserve">Chiều cao bình quân (m) </t>
    </r>
    <r>
      <rPr>
        <sz val="10"/>
        <color rgb="FFFF0000"/>
        <rFont val="Arial"/>
        <family val="2"/>
      </rPr>
      <t>*</t>
    </r>
  </si>
  <si>
    <t>Thể tích</t>
  </si>
  <si>
    <r>
      <t>Bội số trao đổi khí</t>
    </r>
    <r>
      <rPr>
        <sz val="10"/>
        <color rgb="FFFF0000"/>
        <rFont val="Arial"/>
        <family val="2"/>
      </rPr>
      <t xml:space="preserve"> *</t>
    </r>
  </si>
  <si>
    <t>Luu lượng</t>
  </si>
  <si>
    <t>mã sản phẩm</t>
  </si>
  <si>
    <t>Quạt (cái)</t>
  </si>
  <si>
    <t>LF1380</t>
  </si>
  <si>
    <t>LF1220</t>
  </si>
  <si>
    <t>LF1100</t>
  </si>
  <si>
    <t>LF900</t>
  </si>
  <si>
    <t>LF1000</t>
  </si>
  <si>
    <t>LF800</t>
  </si>
  <si>
    <t>LF700</t>
  </si>
  <si>
    <t>Cách tính số tấm làm mát cooling pass</t>
  </si>
  <si>
    <t>Lưu lượng gió qua tấm</t>
  </si>
  <si>
    <t>Số mét vuông tấm cần cho xưởng</t>
  </si>
  <si>
    <t>Số tấm làm mát</t>
  </si>
  <si>
    <t>2,7</t>
  </si>
  <si>
    <t>1800*1500*150</t>
  </si>
  <si>
    <t>3,24</t>
  </si>
  <si>
    <t>1800*1800*150</t>
  </si>
  <si>
    <t>3,6</t>
  </si>
  <si>
    <t>2400*1500*150</t>
  </si>
  <si>
    <t>4,32</t>
  </si>
  <si>
    <t>2400*1800.150</t>
  </si>
  <si>
    <t>5,4</t>
  </si>
  <si>
    <t>3600*1500*150</t>
  </si>
  <si>
    <t>6,48</t>
  </si>
  <si>
    <t>3600*1800.150</t>
  </si>
  <si>
    <t>6,3</t>
  </si>
  <si>
    <t>4200*1500*150</t>
  </si>
  <si>
    <t>7,56</t>
  </si>
  <si>
    <t>4200*1800.150</t>
  </si>
  <si>
    <t>Bội số trao đổi khí của nhà xưởng</t>
  </si>
  <si>
    <t>bội số</t>
  </si>
  <si>
    <t>Thông gió áp suất âm-hệ thống làm mát cooling pad</t>
  </si>
  <si>
    <t>Xưởng thông thoáng</t>
  </si>
  <si>
    <t>Xưởng nóng và đông người</t>
  </si>
  <si>
    <t>3- Thêm bội số trao đổi khí</t>
  </si>
  <si>
    <t>Cách tính công suất và số lượng quạt cho hút khói, bụi, thông gió</t>
  </si>
  <si>
    <t>3- Thêm bội số trao đổi khí ( 10-20 -40)</t>
  </si>
  <si>
    <t>Diện tích (m2)</t>
  </si>
  <si>
    <t>Chiều cao bình quân (m)</t>
  </si>
  <si>
    <t>Bội số trao đổi khí (lần)</t>
  </si>
  <si>
    <t>Tên không gian sử dụng</t>
  </si>
  <si>
    <t>Bộ số trao đổi khí</t>
  </si>
  <si>
    <t>1380x1380</t>
  </si>
  <si>
    <t>Hút khói bếp gia đình, thông gió gia đình</t>
  </si>
  <si>
    <t>Hút khói, bụi nhà hàng, bếp nhà hàng, nhà kho ít người, cửa hàng</t>
  </si>
  <si>
    <t>Hút khói phòng sơn, nhà xưởng, hút nhiệt nóng cần hút mạnh</t>
  </si>
  <si>
    <t>Hút nhiệt nóng, hút khói mức độ cao, thông đường ống, hầm</t>
  </si>
  <si>
    <t>Thông gió có nhiệt độ cao, đông người</t>
  </si>
  <si>
    <t>Thông gió nhà xưởng</t>
  </si>
  <si>
    <t>Trại chăn nuôi</t>
  </si>
  <si>
    <t>Nhà màng cho trồng rau, hoa</t>
  </si>
  <si>
    <t>40CL</t>
  </si>
  <si>
    <t>Tổng số lưu lượng</t>
  </si>
  <si>
    <t>số lượng Quạt (cái)</t>
  </si>
  <si>
    <t xml:space="preserve">Các bước tính toán chi tiết tính số lượng quạt </t>
  </si>
  <si>
    <t>Bảng bội số trao đổi khí</t>
  </si>
  <si>
    <t>Mã</t>
  </si>
  <si>
    <t>Tên</t>
  </si>
  <si>
    <t>Nhóm VTHH</t>
  </si>
  <si>
    <t>Lưu lượng gió ()</t>
  </si>
  <si>
    <t>ĐVT chính</t>
  </si>
  <si>
    <t>Thời hạn BH</t>
  </si>
  <si>
    <t>Thương hiệu</t>
  </si>
  <si>
    <t>Nguồn gốc</t>
  </si>
  <si>
    <t>2003466</t>
  </si>
  <si>
    <t>Quạt hút công nghiệp BMF 400x400x320 220V Cánh inox</t>
  </si>
  <si>
    <t>Quạt hút CN</t>
  </si>
  <si>
    <t>Cái</t>
  </si>
  <si>
    <t>12 tháng</t>
  </si>
  <si>
    <t>Omysu</t>
  </si>
  <si>
    <t>Việt nam</t>
  </si>
  <si>
    <t>2004256</t>
  </si>
  <si>
    <t>Quạt thông gió CN</t>
  </si>
  <si>
    <t>Gale</t>
  </si>
  <si>
    <t>2004255</t>
  </si>
  <si>
    <t>2004248</t>
  </si>
  <si>
    <t>2005077</t>
  </si>
  <si>
    <t>Superlite Max</t>
  </si>
  <si>
    <t>2002955</t>
  </si>
  <si>
    <t>2002351</t>
  </si>
  <si>
    <t>Komasu</t>
  </si>
  <si>
    <t>2004249</t>
  </si>
  <si>
    <t>2004244</t>
  </si>
  <si>
    <t>2003619</t>
  </si>
  <si>
    <t>Haiki</t>
  </si>
  <si>
    <t>2002344</t>
  </si>
  <si>
    <t>2005293</t>
  </si>
  <si>
    <t>Nedfon</t>
  </si>
  <si>
    <t>2005047</t>
  </si>
  <si>
    <t>Quạt hút công nghiệp vuông 400x400x400_380V</t>
  </si>
  <si>
    <t>2005048</t>
  </si>
  <si>
    <t>Quạt hút công nghiệp vuông 400x400x400_220V</t>
  </si>
  <si>
    <t>Trung quốc</t>
  </si>
  <si>
    <t>2002343</t>
  </si>
  <si>
    <t>2005290</t>
  </si>
  <si>
    <t>2004254</t>
  </si>
  <si>
    <t>2004253</t>
  </si>
  <si>
    <t>2005076</t>
  </si>
  <si>
    <t>2004247</t>
  </si>
  <si>
    <t>2005040</t>
  </si>
  <si>
    <t>Quạt hút công nghiệp vuông 1380x1380x400 điện áp 380v</t>
  </si>
  <si>
    <t>2005041</t>
  </si>
  <si>
    <t>Quạt hút công nghiệp vuông 1380x1380x400 điện áp 220V</t>
  </si>
  <si>
    <t>2004252</t>
  </si>
  <si>
    <t>2004251</t>
  </si>
  <si>
    <t>2004622</t>
  </si>
  <si>
    <t>Quạt hút công nghiệp SHRV 1380x1380x400 inox 380V</t>
  </si>
  <si>
    <t>2005075</t>
  </si>
  <si>
    <t>2003469</t>
  </si>
  <si>
    <t>Quạt hút công nghiệp BMF 1380x1380x400 Cánh inox_380V</t>
  </si>
  <si>
    <t>2005629</t>
  </si>
  <si>
    <t>Quạt hút công nghiệp BMF 1380x1380x400 Cánh inox_220V</t>
  </si>
  <si>
    <t>2003473</t>
  </si>
  <si>
    <t>Quạt hút công nghiệp BMF 1380x1380x400  inox 304 toàn phần_380V</t>
  </si>
  <si>
    <t>2004355</t>
  </si>
  <si>
    <t>Quạt hút công nghiệp BMF 1380STD khung sơn tĩnh điện cánh inox_380V</t>
  </si>
  <si>
    <t>2004372</t>
  </si>
  <si>
    <t>Quạt hút công nghiệp BMF 1380STD khung sơn tĩnh điện cánh inox_220V</t>
  </si>
  <si>
    <t>2005357</t>
  </si>
  <si>
    <t>Quạt hút công nghiệp BMF 1380PA Hiệu suất cao Cánh PA_380V</t>
  </si>
  <si>
    <t>2005358</t>
  </si>
  <si>
    <t>Quạt hút công nghiệp BMF 1380P Khung mạ kẽm cánh POM_380V</t>
  </si>
  <si>
    <t>2004364</t>
  </si>
  <si>
    <t>Quạt hút công nghiệp BMF 1380P Khung mạ kẽm cánh POM_220V</t>
  </si>
  <si>
    <t>2004368</t>
  </si>
  <si>
    <t>Quạt hút công nghiệp BMF 1380 Inox 430 toàn phần 380V</t>
  </si>
  <si>
    <t>2004582</t>
  </si>
  <si>
    <t>Quạt hút công nghiệp BMF 1380 Inox 430 toàn phần 220V</t>
  </si>
  <si>
    <t>2004207</t>
  </si>
  <si>
    <t>Quạt hút công nghiệp BMF 1380  inox 304 toàn phần_220V</t>
  </si>
  <si>
    <t>2002350</t>
  </si>
  <si>
    <t>2005270</t>
  </si>
  <si>
    <t>Quạt hút công nghiệp BMF 1220x1220x400 inox 304 toàn phần_380V</t>
  </si>
  <si>
    <t>2003470</t>
  </si>
  <si>
    <t>Quạt hút công nghiệp BMF 1220x1220x400 Cánh inox_380V</t>
  </si>
  <si>
    <t>2005628</t>
  </si>
  <si>
    <t>Quạt hút công nghiệp BMF 1220x1220x400 Cánh inox_220V</t>
  </si>
  <si>
    <t>2004356</t>
  </si>
  <si>
    <t>Quạt hút công nghiệp BMF 1220STD khung sơn tĩnh điện cánh inox_380V</t>
  </si>
  <si>
    <t>2004371</t>
  </si>
  <si>
    <t>Quạt hút công nghiệp BMF 1220STD khung sơn tĩnh điện cánh inox_220V</t>
  </si>
  <si>
    <t>2005356</t>
  </si>
  <si>
    <t>Quạt hút công nghiệp BMF 1220PA Hiệu suất cao Cánh PA_380V</t>
  </si>
  <si>
    <t>2005359</t>
  </si>
  <si>
    <t>Quạt hút công nghiệp BMF 1220P Khung mạ kẽm cánh POM_380V</t>
  </si>
  <si>
    <t>2004363</t>
  </si>
  <si>
    <t>Quạt hút công nghiệp BMF 1220P Khung mạ kẽm cánh POM_220V</t>
  </si>
  <si>
    <t>2004367</t>
  </si>
  <si>
    <t>Quạt hút công nghiệp BMF 1220 Inox 430 toàn phần 380V</t>
  </si>
  <si>
    <t>2004581</t>
  </si>
  <si>
    <t>Quạt hút công nghiệp BMF 1220 Inox 430 toàn phần 220V</t>
  </si>
  <si>
    <t>2004206</t>
  </si>
  <si>
    <t>Quạt hút công nghiệp BMF 1220  inox 304 toàn phần_220V</t>
  </si>
  <si>
    <t>2002339</t>
  </si>
  <si>
    <t>2003355</t>
  </si>
  <si>
    <t>Panasonic</t>
  </si>
  <si>
    <t>2005038</t>
  </si>
  <si>
    <t>Quạt hút công nghiệp vuông 1220x1220x400_380V</t>
  </si>
  <si>
    <t>2005039</t>
  </si>
  <si>
    <t>Quạt hút công nghiệp vuông 1220x1220x400 điện áp 220V</t>
  </si>
  <si>
    <t>2003471</t>
  </si>
  <si>
    <t>Quạt hút công nghiệp BMF 1100x1100x400 Cánh inox_380V</t>
  </si>
  <si>
    <t>2005627</t>
  </si>
  <si>
    <t>Quạt hút công nghiệp BMF 1100x1100x400 Cánh inox_220V</t>
  </si>
  <si>
    <t>2005271</t>
  </si>
  <si>
    <t>Quạt hút công nghiệp BMF 1100x1100x400  inox 304 toàn phần_380V</t>
  </si>
  <si>
    <t>2004357</t>
  </si>
  <si>
    <t>Quạt hút công nghiệp BMF 1100STD khung sơn tĩnh điện cánh inox_380V</t>
  </si>
  <si>
    <t>2004370</t>
  </si>
  <si>
    <t>Quạt hút công nghiệp BMF 1100STD khung sơn tĩnh điện cánh inox_220V</t>
  </si>
  <si>
    <t>2005355</t>
  </si>
  <si>
    <t>Quạt hút công nghiệp BMF 1100PA Hiệu suất cao Cánh PA_380V</t>
  </si>
  <si>
    <t>2005360</t>
  </si>
  <si>
    <t>Quạt hút công nghiệp BMF 1100P Khung mạ kẽm cánh POM_380V</t>
  </si>
  <si>
    <t>2004362</t>
  </si>
  <si>
    <t>Quạt hút công nghiệp BMF 1100P Khung mạ kẽm cánh POM_220V</t>
  </si>
  <si>
    <t>2005364</t>
  </si>
  <si>
    <t>Quạt hút công nghiệp BMF 1100 Inox 430 toàn phần 380V</t>
  </si>
  <si>
    <t>2004580</t>
  </si>
  <si>
    <t>Quạt hút công nghiệp BMF 1100 Inox 430 toàn phần 220V</t>
  </si>
  <si>
    <t>2004205</t>
  </si>
  <si>
    <t>Quạt hút công nghiệp BMF 1100  inox 304 toàn phần_220V</t>
  </si>
  <si>
    <t>2003554</t>
  </si>
  <si>
    <t>2005036</t>
  </si>
  <si>
    <t>Quạt hút công nghiệp vuông 1100x1100x400_380V</t>
  </si>
  <si>
    <t>2005037</t>
  </si>
  <si>
    <t>Quạt hút công nghiệp vuông 1100x1100x400 điện áp 220V</t>
  </si>
  <si>
    <t>2004358</t>
  </si>
  <si>
    <t>Quạt hút công nghiệp BMF 1000 cánh inox_380V</t>
  </si>
  <si>
    <t>2004373</t>
  </si>
  <si>
    <t>Quạt hút công nghiệp BMF 1000 cánh inox_220V</t>
  </si>
  <si>
    <t>2003549</t>
  </si>
  <si>
    <t>2003541</t>
  </si>
  <si>
    <t>2005292</t>
  </si>
  <si>
    <t>2003622</t>
  </si>
  <si>
    <t>2004246</t>
  </si>
  <si>
    <t>2002349</t>
  </si>
  <si>
    <t>2005074</t>
  </si>
  <si>
    <t>2005035</t>
  </si>
  <si>
    <t>Quạt hút công nghiệp vuông 900x900x400 điện áp 380V</t>
  </si>
  <si>
    <t>2005034</t>
  </si>
  <si>
    <t>Quạt hút công nghiệp vuông 900x900x400 điện áp 220V</t>
  </si>
  <si>
    <t>2003472</t>
  </si>
  <si>
    <t>Quạt hút công nghiệp BMF 900x900x400 Cánh inox_380V</t>
  </si>
  <si>
    <t>2005626</t>
  </si>
  <si>
    <t>Quạt hút công nghiệp BMF 900x900x400 Cánh inox_220V</t>
  </si>
  <si>
    <t>2005272</t>
  </si>
  <si>
    <t>Quạt hút công nghiệp BMF 900x900x400  inox 304 toàn phần_380V</t>
  </si>
  <si>
    <t>2004359</t>
  </si>
  <si>
    <t>Quạt hút công nghiệp BMF 900STD khung sơn tĩnh điện cánh inox_380V</t>
  </si>
  <si>
    <t>2004369</t>
  </si>
  <si>
    <t>Quạt hút công nghiệp BMF 900STD khung sơn tĩnh điện cánh inox_220V</t>
  </si>
  <si>
    <t>2005361</t>
  </si>
  <si>
    <t>Quạt hút công nghiệp BMF 900P Khung mạ kẽm cánh POM_380V</t>
  </si>
  <si>
    <t>2004361</t>
  </si>
  <si>
    <t>Quạt hút công nghiệp BMF 900P Khung mạ kẽm cánh POM_220V</t>
  </si>
  <si>
    <t>2004365</t>
  </si>
  <si>
    <t>Quạt hút công nghiệp BMF 900 Inox 430 toàn phần 380V</t>
  </si>
  <si>
    <t>2004586</t>
  </si>
  <si>
    <t>Quạt hút công nghiệp BMF 900 Inox 430 toàn phần 220V</t>
  </si>
  <si>
    <t>2004203</t>
  </si>
  <si>
    <t>Quạt hút công nghiệp BMF 900  inox 304 toàn phần_220V</t>
  </si>
  <si>
    <t>2003354</t>
  </si>
  <si>
    <t>2002342</t>
  </si>
  <si>
    <t>2003474</t>
  </si>
  <si>
    <t>Quạt hút công nghiệp BMF 800x800x400 Cánh inox_380V</t>
  </si>
  <si>
    <t>2005625</t>
  </si>
  <si>
    <t>Quạt hút công nghiệp BMF 800x800x400 Cánh inox_220V</t>
  </si>
  <si>
    <t>2005362</t>
  </si>
  <si>
    <t>Quạt hút công nghiệp BMF 800  Inox 430 toàn phần 380V</t>
  </si>
  <si>
    <t>2004585</t>
  </si>
  <si>
    <t>Quạt hút công nghiệp BMF 800  Inox 430 toàn phần 220V</t>
  </si>
  <si>
    <t>2002338</t>
  </si>
  <si>
    <t>2003553</t>
  </si>
  <si>
    <t>2004250</t>
  </si>
  <si>
    <t>2005073</t>
  </si>
  <si>
    <t>2005072</t>
  </si>
  <si>
    <t>2005033</t>
  </si>
  <si>
    <t>Quạt hút công nghiệp vuông 800x800x400_380V</t>
  </si>
  <si>
    <t>2004654</t>
  </si>
  <si>
    <t>Quạt hút công nghiệp vuông 800x800x400 điện áp 220V</t>
  </si>
  <si>
    <t>2002348</t>
  </si>
  <si>
    <t>2002341</t>
  </si>
  <si>
    <t>2002337</t>
  </si>
  <si>
    <t>2003500</t>
  </si>
  <si>
    <t>Quạt hút công nghiệp BMF 700x700x400 Cánh inox_380V</t>
  </si>
  <si>
    <t>2005624</t>
  </si>
  <si>
    <t>Quạt hút công nghiệp BMF 700x700x400 Cánh inox_220V</t>
  </si>
  <si>
    <t>2005031</t>
  </si>
  <si>
    <t>Quạt hút công nghiệp vuông 700x700x400 điện áp 380V</t>
  </si>
  <si>
    <t>2005032</t>
  </si>
  <si>
    <t>Quạt hút công nghiệp vuông 700x700x400 điện áp 220V</t>
  </si>
  <si>
    <t>2002935</t>
  </si>
  <si>
    <t>1 năm</t>
  </si>
  <si>
    <t>2003353</t>
  </si>
  <si>
    <t>2003621</t>
  </si>
  <si>
    <t>2003468</t>
  </si>
  <si>
    <t>Quạt hút công nghiệp BMF 600x600x400 Cánh inox_380V</t>
  </si>
  <si>
    <t>2005623</t>
  </si>
  <si>
    <t>Quạt hút công nghiệp BMF 600x600x400 Cánh inox_220V</t>
  </si>
  <si>
    <t>2005363</t>
  </si>
  <si>
    <t>Quạt hút công nghiệp BMF 700 Inox 430 toàn phần 380V</t>
  </si>
  <si>
    <t>2004584</t>
  </si>
  <si>
    <t>Quạt hút công nghiệp BMF 700 Inox 430 toàn phần 220V</t>
  </si>
  <si>
    <t>2005529</t>
  </si>
  <si>
    <t>2004374</t>
  </si>
  <si>
    <t>Quạt hút công nghiệp BMF 600 Inox 430 toàn phần 380V</t>
  </si>
  <si>
    <t>2004583</t>
  </si>
  <si>
    <t>Quạt hút công nghiệp BMF 600 Inox 430 toàn phần 220V</t>
  </si>
  <si>
    <t>2005029</t>
  </si>
  <si>
    <t>Quạt hút công nghiệp vuông 600x600x400 điện áp 380V</t>
  </si>
  <si>
    <t>2005030</t>
  </si>
  <si>
    <t>Quạt hút công nghiệp vuông 600x600x400 điện áp 220V</t>
  </si>
  <si>
    <t>2003552</t>
  </si>
  <si>
    <t>2003620</t>
  </si>
  <si>
    <t>2002340</t>
  </si>
  <si>
    <t>2003352</t>
  </si>
  <si>
    <t>2005291</t>
  </si>
  <si>
    <t>2004245</t>
  </si>
  <si>
    <t>2005027</t>
  </si>
  <si>
    <t>Quạt hút công nghiệp vuông 500x500x400 điện áp 380V</t>
  </si>
  <si>
    <t>2005028</t>
  </si>
  <si>
    <t>Quạt hút công nghiệp vuông 500x500x400 điện áp 220V</t>
  </si>
  <si>
    <t>2003592</t>
  </si>
  <si>
    <t>Quạt hút công nghiệp BMF 500x500x350 220V Cánh inox</t>
  </si>
  <si>
    <t>Panasonic Việt nam</t>
  </si>
  <si>
    <t>2004315</t>
  </si>
  <si>
    <t>Tấm làm mát nâu 2000x600x150mm</t>
  </si>
  <si>
    <t>Làm mát CN</t>
  </si>
  <si>
    <t/>
  </si>
  <si>
    <t>Tấm</t>
  </si>
  <si>
    <t>2004052</t>
  </si>
  <si>
    <t>Tấm làm mát nâu 1800x600x150mm</t>
  </si>
  <si>
    <t>2004053</t>
  </si>
  <si>
    <t>Tấm làm mát nâu 1500x600x150mm</t>
  </si>
  <si>
    <t>2005144</t>
  </si>
  <si>
    <t>Tấm làm mát chống rêu 2000x600x150mm</t>
  </si>
  <si>
    <t>2003854</t>
  </si>
  <si>
    <t>Tấm làm mát chống rêu 1800x600x150mm</t>
  </si>
  <si>
    <t>2003864</t>
  </si>
  <si>
    <t>Tấm làm mát chống rêu 1500x600x150mm</t>
  </si>
  <si>
    <t>2004055</t>
  </si>
  <si>
    <t>Khung tấm làm mát nhôm 3m</t>
  </si>
  <si>
    <t>No brand</t>
  </si>
  <si>
    <t>2004056</t>
  </si>
  <si>
    <t>Khung tấm làm mát nhôm 36m</t>
  </si>
  <si>
    <t>2004106</t>
  </si>
  <si>
    <t>Khung Inox 304_4200x1800x150 dầy 08mm</t>
  </si>
  <si>
    <t>2004100</t>
  </si>
  <si>
    <t>Khung Inox 304_4200x1500x150 dầy 08mm</t>
  </si>
  <si>
    <t>2004105</t>
  </si>
  <si>
    <t>Khung Inox 304_3600x1800x150 dầy 08mm</t>
  </si>
  <si>
    <t>2004099</t>
  </si>
  <si>
    <t>Khung Inox 304_3600x1500x150 dầy 08mm</t>
  </si>
  <si>
    <t>2004104</t>
  </si>
  <si>
    <t>Khung Inox 304_3000x1800x150 dầy 08mm</t>
  </si>
  <si>
    <t>2004098</t>
  </si>
  <si>
    <t>Khung Inox 304_3000x1500x150 dầy 08mm</t>
  </si>
  <si>
    <t>2004103</t>
  </si>
  <si>
    <t>Khung Inox 304_2400x1800x150 dầy 08mm</t>
  </si>
  <si>
    <t>2004097</t>
  </si>
  <si>
    <t>Khung Inox 304_2400x1500x150 dầy 08mm</t>
  </si>
  <si>
    <t>2004102</t>
  </si>
  <si>
    <t>Khung Inox 304_1800x1800x150 dầy 08mm</t>
  </si>
  <si>
    <t>2004101</t>
  </si>
  <si>
    <t>Khung Inox 304_1800x1800x150 dầy 06mm</t>
  </si>
  <si>
    <t>2004096</t>
  </si>
  <si>
    <t>Khung Inox 304_1800x1500x150 dầy 08mm</t>
  </si>
  <si>
    <t>2004095</t>
  </si>
  <si>
    <t>Khung Inox 304_1800x1500x150 dầy 06mm</t>
  </si>
  <si>
    <t>2002646</t>
  </si>
  <si>
    <t>Khung Inox 201_4800x1800x150 dầy 08mm</t>
  </si>
  <si>
    <t>2004094</t>
  </si>
  <si>
    <t>Khung Inox 201_4200x1800x150 dầy 08mm</t>
  </si>
  <si>
    <t>2004088</t>
  </si>
  <si>
    <t>Khung Inox 201_4200x1500x150 dầy 08mm</t>
  </si>
  <si>
    <t>2004093</t>
  </si>
  <si>
    <t>Khung Inox 201_3600x1800x150 dầy 08mm</t>
  </si>
  <si>
    <t>2004087</t>
  </si>
  <si>
    <t>Khung Inox 201_3600x1500x150 dầy 08mm</t>
  </si>
  <si>
    <t>2004092</t>
  </si>
  <si>
    <t>Khung Inox 201_3000x1800x150 dầy 08mm</t>
  </si>
  <si>
    <t>2004086</t>
  </si>
  <si>
    <t>Khung Inox 201_3000x1500x150 dầy 08mm</t>
  </si>
  <si>
    <t>2004091</t>
  </si>
  <si>
    <t>Khung Inox 201_2400x1800x150 dầy 08mm</t>
  </si>
  <si>
    <t>2004085</t>
  </si>
  <si>
    <t>Khung Inox 201_2400x1500x150 dầy 08mm</t>
  </si>
  <si>
    <t>2002947</t>
  </si>
  <si>
    <t>Khung Inox 201_1800x1800x150 dầy 08mm</t>
  </si>
  <si>
    <t>2004090</t>
  </si>
  <si>
    <t>2004089</t>
  </si>
  <si>
    <t>Khung Inox 201_1800x1800x150 dầy 06mm</t>
  </si>
  <si>
    <t>2004084</t>
  </si>
  <si>
    <t>Khung Inox 201_1800x1500x150 dầy 08mm</t>
  </si>
  <si>
    <t>2004054</t>
  </si>
  <si>
    <t>Khung inox 201_1800x1500x150 dầy 06mm</t>
  </si>
  <si>
    <t>2. Xác định bội số trao đổi khí (cột D) : Tham khảo bảng bội số trao đổi khí hoặc Phụ lục G để tìm bội số phù hợp không gian</t>
  </si>
  <si>
    <t>1. Tính thể tích và lượng gió cần trao đổi: Cột C= Cột A*cột B</t>
  </si>
  <si>
    <t>Lưu lượng gió của quạt</t>
  </si>
  <si>
    <t>3. Tìm quạt có lưu lượng gió phù hợp : theo diện tích vách nhà xưởng để chọn kích thước quạt hay lưu lượng gió phù hợp, chọn danh sách quạt tại sheet danh sách quạt thông gió, copy mã để xem chi tiết trên trang winline.vn, chọn lưu lượng điền vào cột F, mã sản phẩm điền cột G</t>
  </si>
  <si>
    <t>4. Chia số tổng lưu lượng cần trao đổi khí cho số lưu lượng của quạt để ra số quạt, kết quả số quạt tại cột H</t>
  </si>
  <si>
    <t>DANH SÁCH QUẠT THÔNG GIÓ VÀ LƯU LƯỢNG THAM KHẢO TẠI WINLINE.VN</t>
  </si>
  <si>
    <t>Thông gió hút bụi</t>
  </si>
  <si>
    <t>Hệ thống làm mát áp suất âm</t>
  </si>
  <si>
    <t>x</t>
  </si>
  <si>
    <t>Điện áp</t>
  </si>
  <si>
    <t>Quạt vuông/tròn</t>
  </si>
  <si>
    <t>380v</t>
  </si>
  <si>
    <t>220V</t>
  </si>
  <si>
    <t>Quạt hình vuông</t>
  </si>
  <si>
    <t>Quạt hình tròn</t>
  </si>
  <si>
    <t>Quạt thông gió tròn Nedfon GF(D)2-220V, Ø 20</t>
  </si>
  <si>
    <t>Quạt thông gió xách tay Haiki XT-20 (Tốc độ cao)-220V, Ø 20</t>
  </si>
  <si>
    <t>Quạt thông gió công nghiệp tròn Gale VF25-220V, Ø 25</t>
  </si>
  <si>
    <t>Quạt thông gió công nghiệp tròn Gale SVF25-220V, Ø 25</t>
  </si>
  <si>
    <t>Quạt thông gió công nghiệp Haiki HK-25FA-220V, Ø 25</t>
  </si>
  <si>
    <t>Quạt thông gió xách tay Haiki XT-25 (Tốc độ cao)-220V, Ø 25</t>
  </si>
  <si>
    <t>Quạt thông gió công nghiệp Superlite MAX SLHCV-25-220V, Ø 25</t>
  </si>
  <si>
    <t>Quạt thông gió công nghiệp komasu tròn KM-25T-220V, Ø 25</t>
  </si>
  <si>
    <t>Quạt hút công nghiệp Panasonic FV-25GS4-220V, Ø 25</t>
  </si>
  <si>
    <t>Quạt thông gió tròn Nedfon GF(D)25-2-220V, Ø 25</t>
  </si>
  <si>
    <t>Quạt thông gió xách tay Haiki XT-30, (Tốc độ cao)-220V, Ø 30</t>
  </si>
  <si>
    <t>Quạt thông gió công nghiệp tròn Gale VF30-220V, Ø 30</t>
  </si>
  <si>
    <t>Quạt thông gió công nghiệp Superlite MAX SLHCV-30-220V, Ø 30</t>
  </si>
  <si>
    <t>Quạt thông gió công nghiệp komasu KM-30-1S-220V, Ø 30</t>
  </si>
  <si>
    <t>Quạt thông gió công nghiệp komasu tròn KM-30T-220V, Ø 30</t>
  </si>
  <si>
    <t>Quạt hút công nghiệp Panasonic FV-30GS4-220V, Ø 30</t>
  </si>
  <si>
    <t>Quạt thông gió công nghiệp Haiki HK-30FA-220V, Ø 30</t>
  </si>
  <si>
    <t>Quạt thông gió công nghiệp tròn Gale SVF30-220V, Ø 30</t>
  </si>
  <si>
    <t>Quạt thông gió công suất cao Haiki HKS-35G điện áp 380V-380v, Ø 35</t>
  </si>
  <si>
    <t>Quạt thông gió tròn Nedfon GF(D)35-220V, Ø 35</t>
  </si>
  <si>
    <t>Quạt thông gió công nghiệp komasu KM-35-1S-220V, Ø 35</t>
  </si>
  <si>
    <t>Quạt thông gió công nghiệp Superlite MAX SLHCV-35-220V, Ø 35</t>
  </si>
  <si>
    <t>Quạt hút công nghiệp Panasonic FV-35GS4-220V, Ø 35</t>
  </si>
  <si>
    <t>Quạt thông gió công nghiệp komasu tròn KM-35T-220V, Ø 35</t>
  </si>
  <si>
    <t>Quạt thông gió công nghiệp Haiki HK-35FA-220V, Ø 35</t>
  </si>
  <si>
    <t>Quạt xách tay SHT-35 (Tốc độ cao)-220V, Ø 35</t>
  </si>
  <si>
    <t>Quạt thông gió công nghiệp tròn Gale VF40T 380V-380v, Ø 40</t>
  </si>
  <si>
    <t>Quạt thông gió công nghiệp tròn Gale VF40-220V, Ø 40</t>
  </si>
  <si>
    <t>Quạt thông gió công nghiệp Superlite MAX SLHCV-40-220V, Ø 40</t>
  </si>
  <si>
    <t>Quạt thông gió công nghiệp komasu KM-40-1S-220V, Ø 40</t>
  </si>
  <si>
    <t>Quạt thông gió công nghiệp komasu tròn KM-40T-220V, Ø 40</t>
  </si>
  <si>
    <t>Quạt hút công nghiệp Panasonic FV-40GS4-220V, Ø 40</t>
  </si>
  <si>
    <t>Quạt thông gió công nghiệp Haiki HKV-40CL-220V, Ø 40</t>
  </si>
  <si>
    <t>Quạt thông gió công nghiệp Haiki HK-40FA-220V, Ø 40</t>
  </si>
  <si>
    <t>Quạt thông gió công nghiệp tròn Gale SVF40-220V, Ø 40</t>
  </si>
  <si>
    <t>Quạt xách tay SHT-40 (Tốc độ cao)-220V, Ø 40</t>
  </si>
  <si>
    <t>Quạt thông gió công nghiệp komasu KM-50-1S-220V, Ø 50</t>
  </si>
  <si>
    <t>Quạt thông gió công nghiệp komasu tròn KM-50T-220V, Ø 50</t>
  </si>
  <si>
    <t>Quạt thông gió công nghiệp tròn Gale VF50T 380V-380v, Ø 50</t>
  </si>
  <si>
    <t>Quạt thông gió công nghiệp tròn Gale VF50-220V, Ø 50</t>
  </si>
  <si>
    <t>Quạt thông gió công nghiệp Superlite MAX SLHCV-50-220V, Ø 50</t>
  </si>
  <si>
    <t>Quạt thông gió công nghiệp tròn Gale SVF50-220V, Ø 50</t>
  </si>
  <si>
    <t>Quạt thông gió công nghiệp tròn Gale VF60T 380V-380v, Ø 60</t>
  </si>
  <si>
    <t>Quạt thông gió công nghiệp tròn Gale VF60-220V, Ø 60</t>
  </si>
  <si>
    <t>Quạt thông gió công nghiệp tròn Gale SVF60-220V, Ø 60</t>
  </si>
  <si>
    <t>Quạt thông gió công nghiệp Superlite MAX SLHCV-60-220V, Ø 60</t>
  </si>
  <si>
    <t>Quạt thông gió công nghiệp Omysu FA-60-C1-220V, Ø 60</t>
  </si>
  <si>
    <t>Quạt thông gió công nghiệp komasu tròn KM-60T-220V, Ø 60</t>
  </si>
  <si>
    <t>Quạt thông gió tròn Nedfon GF(D)5-220V, Ø 60</t>
  </si>
  <si>
    <t>Quạt thông gió công nghiệp komasu KM-60-2S-220V, Ø 60</t>
  </si>
  <si>
    <t>Quạt thông gió công nghiệp komasu KM-70-2S-220V, Ø 70</t>
  </si>
  <si>
    <t>chọn Kích thước tấm cooling pass</t>
  </si>
  <si>
    <t>Ghi chú: Kích thước tấm cooling pass có các loại kích thước phổ thông như trong bảng: dài * rộng* dày, ví dụ tấm làm mát cooling pad 4200*1800*150 là dài 4,2m, rộng 1,8m và dày 15cm, thực chất công thức không quan tâm đến độ dày, chỉ tính mét vuông là dài x rộng</t>
  </si>
  <si>
    <t>Phụ lục G- TCVN 5687 2024 về Thông gió, Bội số trao đổi không khí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</si>
</sst>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14" x14ac:knownFonts="1">
    <font>
      <sz val="11"/>
      <color theme="1"/>
      <name val="Calibri"/>
      <family val="2"/>
      <scheme val="minor"/>
    </font>
    <font>
      <b/>
      <sz val="12"/>
      <name val="Arial"/>
      <family val="2"/>
    </font>
    <font>
      <b/>
      <sz val="10"/>
      <name val="Arial"/>
      <family val="2"/>
    </font>
    <font>
      <sz val="10"/>
      <name val="Arial"/>
      <family val="2"/>
    </font>
    <font>
      <i/>
      <sz val="10"/>
      <name val="Arial"/>
      <family val="2"/>
    </font>
    <font>
      <sz val="10"/>
      <color theme="1"/>
      <name val="Arial"/>
      <family val="2"/>
    </font>
    <font>
      <b/>
      <sz val="10"/>
      <color theme="1"/>
      <name val="Arial"/>
      <family val="2"/>
    </font>
    <font>
      <sz val="10"/>
      <color theme="1"/>
      <name val="Calibri"/>
      <family val="2"/>
      <scheme val="minor"/>
    </font>
    <font>
      <sz val="10"/>
      <color rgb="FF000000"/>
      <name val="Arial"/>
      <family val="2"/>
    </font>
    <font>
      <sz val="10"/>
      <color rgb="FFFF0000"/>
      <name val="Arial"/>
      <family val="2"/>
    </font>
    <font>
      <sz val="11"/>
      <color theme="1"/>
      <name val="Calibri"/>
      <family val="2"/>
      <scheme val="minor"/>
    </font>
    <font>
      <sz val="8"/>
      <name val="Microsoft Sans Serif"/>
      <family val="2"/>
    </font>
    <font>
      <b/>
      <sz val="14"/>
      <color theme="1"/>
      <name val="Times New Roman"/>
      <family val="1"/>
    </font>
    <font>
      <sz val="8"/>
      <color rgb="FF000000"/>
      <name val="Microsoft Sans Serif"/>
      <family val="2"/>
    </font>
  </fonts>
  <fills count="3">
    <fill>
      <patternFill patternType="none"/>
    </fill>
    <fill>
      <patternFill patternType="gray125"/>
    </fill>
    <fill>
      <patternFill patternType="solid">
        <fgColor rgb="FFCCCCFF"/>
        <bgColor indexed="64"/>
      </patternFill>
    </fill>
  </fills>
  <borders count="11">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style="thin">
        <color theme="1" tint="0.499984740745262"/>
      </right>
      <top style="thin">
        <color indexed="64"/>
      </top>
      <bottom style="thin">
        <color theme="1" tint="0.499984740745262"/>
      </bottom>
      <diagonal/>
    </border>
    <border>
      <left style="thin">
        <color theme="1" tint="0.499984740745262"/>
      </left>
      <right style="thin">
        <color theme="1" tint="0.499984740745262"/>
      </right>
      <top style="thin">
        <color indexed="64"/>
      </top>
      <bottom style="thin">
        <color theme="1" tint="0.499984740745262"/>
      </bottom>
      <diagonal/>
    </border>
    <border>
      <left style="thin">
        <color theme="1" tint="0.499984740745262"/>
      </left>
      <right style="thin">
        <color indexed="64"/>
      </right>
      <top style="thin">
        <color indexed="64"/>
      </top>
      <bottom style="thin">
        <color theme="1" tint="0.499984740745262"/>
      </bottom>
      <diagonal/>
    </border>
    <border>
      <left style="thin">
        <color indexed="64"/>
      </left>
      <right style="thin">
        <color theme="1" tint="0.499984740745262"/>
      </right>
      <top style="thin">
        <color theme="1" tint="0.499984740745262"/>
      </top>
      <bottom style="thin">
        <color theme="1" tint="0.499984740745262"/>
      </bottom>
      <diagonal/>
    </border>
    <border>
      <left style="thin">
        <color theme="1" tint="0.499984740745262"/>
      </left>
      <right style="thin">
        <color indexed="64"/>
      </right>
      <top style="thin">
        <color theme="1" tint="0.499984740745262"/>
      </top>
      <bottom style="thin">
        <color theme="1" tint="0.499984740745262"/>
      </bottom>
      <diagonal/>
    </border>
    <border>
      <left style="thin">
        <color indexed="64"/>
      </left>
      <right style="thin">
        <color theme="1" tint="0.499984740745262"/>
      </right>
      <top style="thin">
        <color theme="1" tint="0.499984740745262"/>
      </top>
      <bottom style="thin">
        <color indexed="64"/>
      </bottom>
      <diagonal/>
    </border>
    <border>
      <left style="thin">
        <color theme="1" tint="0.499984740745262"/>
      </left>
      <right style="thin">
        <color theme="1" tint="0.499984740745262"/>
      </right>
      <top style="thin">
        <color theme="1" tint="0.499984740745262"/>
      </top>
      <bottom style="thin">
        <color indexed="64"/>
      </bottom>
      <diagonal/>
    </border>
    <border>
      <left style="thin">
        <color theme="1" tint="0.499984740745262"/>
      </left>
      <right style="thin">
        <color indexed="64"/>
      </right>
      <top style="thin">
        <color theme="1" tint="0.499984740745262"/>
      </top>
      <bottom style="thin">
        <color indexed="64"/>
      </bottom>
      <diagonal/>
    </border>
    <border>
      <left style="thin">
        <color theme="1" tint="0.499984740745262"/>
      </left>
      <right style="thin">
        <color theme="1" tint="0.499984740745262"/>
      </right>
      <top/>
      <bottom/>
      <diagonal/>
    </border>
  </borders>
  <cellStyleXfs count="2">
    <xf numFmtId="0" fontId="0" fillId="0" borderId="0"/>
    <xf numFmtId="41" fontId="10" fillId="0" borderId="0" applyFont="0" applyFill="0" applyBorder="0" applyAlignment="0" applyProtection="0"/>
  </cellStyleXfs>
  <cellXfs count="54">
    <xf numFmtId="0" fontId="0" fillId="0" borderId="0" xfId="0"/>
    <xf numFmtId="0" fontId="3" fillId="0" borderId="1" xfId="0" applyFont="1" applyBorder="1" applyAlignment="1">
      <alignment horizontal="left" vertical="center" wrapText="1"/>
    </xf>
    <xf numFmtId="49" fontId="3" fillId="0" borderId="1" xfId="0" applyNumberFormat="1" applyFont="1" applyBorder="1" applyAlignment="1">
      <alignment horizontal="center" vertical="center" wrapText="1"/>
    </xf>
    <xf numFmtId="0" fontId="0" fillId="0" borderId="1" xfId="0" applyBorder="1"/>
    <xf numFmtId="0" fontId="2" fillId="0" borderId="1" xfId="0" applyFont="1" applyBorder="1" applyAlignment="1">
      <alignment horizontal="center" vertical="center" wrapText="1"/>
    </xf>
    <xf numFmtId="0" fontId="7" fillId="0" borderId="0" xfId="0" applyFont="1" applyAlignment="1">
      <alignment wrapText="1"/>
    </xf>
    <xf numFmtId="0" fontId="5" fillId="0" borderId="0" xfId="0" applyFont="1" applyAlignment="1">
      <alignment vertical="center"/>
    </xf>
    <xf numFmtId="0" fontId="5" fillId="0" borderId="0" xfId="0" applyFont="1" applyAlignment="1">
      <alignment wrapText="1"/>
    </xf>
    <xf numFmtId="0" fontId="5" fillId="0" borderId="0" xfId="0" applyFont="1" applyAlignment="1">
      <alignment horizontal="left" wrapText="1"/>
    </xf>
    <xf numFmtId="0" fontId="5" fillId="0" borderId="1" xfId="0" applyFont="1" applyBorder="1" applyAlignment="1">
      <alignment horizontal="center" vertical="center" wrapText="1"/>
    </xf>
    <xf numFmtId="0" fontId="8" fillId="0" borderId="1" xfId="0" applyFont="1" applyBorder="1" applyAlignment="1">
      <alignment horizontal="center" vertical="center" wrapText="1"/>
    </xf>
    <xf numFmtId="0" fontId="7" fillId="0" borderId="1" xfId="0" applyFont="1" applyBorder="1" applyAlignment="1">
      <alignment vertical="center" wrapText="1"/>
    </xf>
    <xf numFmtId="0" fontId="5" fillId="0" borderId="1" xfId="0" applyFont="1" applyBorder="1" applyAlignment="1">
      <alignment horizontal="right" vertical="center" wrapText="1"/>
    </xf>
    <xf numFmtId="0" fontId="5" fillId="0" borderId="1" xfId="0" applyFont="1" applyBorder="1" applyAlignment="1">
      <alignment horizontal="right" wrapText="1"/>
    </xf>
    <xf numFmtId="3" fontId="5" fillId="0" borderId="1" xfId="0" applyNumberFormat="1" applyFont="1" applyBorder="1" applyAlignment="1">
      <alignment horizontal="right" wrapText="1"/>
    </xf>
    <xf numFmtId="0" fontId="5" fillId="0" borderId="1" xfId="0" applyFont="1" applyBorder="1" applyAlignment="1">
      <alignment wrapText="1"/>
    </xf>
    <xf numFmtId="0" fontId="7" fillId="0" borderId="1" xfId="0" applyFont="1" applyBorder="1" applyAlignment="1">
      <alignment wrapText="1"/>
    </xf>
    <xf numFmtId="0" fontId="7" fillId="0" borderId="1" xfId="0" applyFont="1" applyBorder="1" applyAlignment="1">
      <alignment horizontal="center" wrapText="1"/>
    </xf>
    <xf numFmtId="0" fontId="7" fillId="0" borderId="1" xfId="0" applyFont="1" applyBorder="1" applyAlignment="1">
      <alignment horizontal="center" vertical="center" wrapText="1"/>
    </xf>
    <xf numFmtId="0" fontId="6" fillId="0" borderId="1" xfId="0" applyFont="1" applyBorder="1" applyAlignment="1">
      <alignment horizontal="center" wrapText="1"/>
    </xf>
    <xf numFmtId="0" fontId="5" fillId="0" borderId="1" xfId="0" applyFont="1" applyBorder="1" applyAlignment="1">
      <alignment horizontal="center" wrapText="1"/>
    </xf>
    <xf numFmtId="3" fontId="5" fillId="0" borderId="1" xfId="0" applyNumberFormat="1" applyFont="1" applyBorder="1" applyAlignment="1">
      <alignment horizont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3" fontId="5" fillId="0" borderId="5" xfId="0" applyNumberFormat="1" applyFont="1" applyBorder="1" applyAlignment="1">
      <alignment horizontal="right" wrapText="1"/>
    </xf>
    <xf numFmtId="0" fontId="5" fillId="0" borderId="6" xfId="0" applyFont="1" applyBorder="1" applyAlignment="1">
      <alignment horizontal="right" wrapText="1"/>
    </xf>
    <xf numFmtId="0" fontId="5" fillId="0" borderId="5" xfId="0" applyFont="1" applyBorder="1" applyAlignment="1">
      <alignment horizontal="right" wrapText="1"/>
    </xf>
    <xf numFmtId="0" fontId="5" fillId="0" borderId="7" xfId="0" applyFont="1" applyBorder="1" applyAlignment="1">
      <alignment horizontal="right" wrapText="1"/>
    </xf>
    <xf numFmtId="0" fontId="5" fillId="0" borderId="8" xfId="0" applyFont="1" applyBorder="1" applyAlignment="1">
      <alignment horizontal="right" wrapText="1"/>
    </xf>
    <xf numFmtId="0" fontId="5" fillId="0" borderId="9" xfId="0" applyFont="1" applyBorder="1" applyAlignment="1">
      <alignment horizontal="right" wrapText="1"/>
    </xf>
    <xf numFmtId="0" fontId="5" fillId="0" borderId="5" xfId="0" applyFont="1" applyBorder="1" applyAlignment="1">
      <alignment horizontal="center" wrapText="1"/>
    </xf>
    <xf numFmtId="3" fontId="5" fillId="0" borderId="6" xfId="0" applyNumberFormat="1" applyFont="1" applyBorder="1" applyAlignment="1">
      <alignment horizontal="right" wrapText="1"/>
    </xf>
    <xf numFmtId="0" fontId="7" fillId="0" borderId="5" xfId="0" applyFont="1" applyBorder="1" applyAlignment="1">
      <alignment wrapText="1"/>
    </xf>
    <xf numFmtId="0" fontId="7" fillId="0" borderId="7" xfId="0" applyFont="1" applyBorder="1" applyAlignment="1">
      <alignment wrapText="1"/>
    </xf>
    <xf numFmtId="0" fontId="7" fillId="0" borderId="8" xfId="0" applyFont="1" applyBorder="1" applyAlignment="1">
      <alignment wrapText="1"/>
    </xf>
    <xf numFmtId="3" fontId="5" fillId="0" borderId="9" xfId="0" applyNumberFormat="1" applyFont="1" applyBorder="1" applyAlignment="1">
      <alignment horizontal="right" wrapText="1"/>
    </xf>
    <xf numFmtId="0" fontId="13" fillId="2" borderId="1" xfId="0" applyFont="1" applyFill="1" applyBorder="1" applyAlignment="1">
      <alignment horizontal="center" vertical="center" wrapText="1"/>
    </xf>
    <xf numFmtId="0" fontId="11" fillId="0" borderId="1" xfId="0" applyFont="1" applyBorder="1" applyAlignment="1">
      <alignment horizontal="left" vertical="center"/>
    </xf>
    <xf numFmtId="0" fontId="0" fillId="0" borderId="1" xfId="0" quotePrefix="1" applyBorder="1"/>
    <xf numFmtId="41" fontId="0" fillId="0" borderId="1" xfId="1" quotePrefix="1" applyFont="1" applyBorder="1"/>
    <xf numFmtId="0" fontId="0" fillId="0" borderId="0" xfId="0" applyAlignment="1">
      <alignment horizontal="center" vertical="center"/>
    </xf>
    <xf numFmtId="0" fontId="1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xf numFmtId="0" fontId="13" fillId="2" borderId="10" xfId="0" applyFont="1" applyFill="1" applyBorder="1" applyAlignment="1">
      <alignment horizontal="center" vertical="center" wrapText="1"/>
    </xf>
    <xf numFmtId="0" fontId="7" fillId="0" borderId="0" xfId="0" applyFont="1"/>
    <xf numFmtId="0" fontId="1" fillId="0" borderId="0" xfId="0" applyFont="1" applyAlignment="1">
      <alignment horizontal="center" vertical="center" wrapText="1"/>
    </xf>
    <xf numFmtId="0" fontId="4" fillId="0" borderId="0" xfId="0" applyFont="1" applyAlignment="1">
      <alignment horizontal="left" vertical="center" wrapText="1"/>
    </xf>
    <xf numFmtId="0" fontId="0" fillId="0" borderId="0" xfId="0"/>
    <xf numFmtId="0" fontId="4" fillId="0" borderId="0" xfId="0" applyFont="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left" wrapText="1"/>
    </xf>
    <xf numFmtId="0" fontId="12" fillId="0" borderId="0" xfId="0" applyFont="1" applyAlignment="1">
      <alignment horizontal="center"/>
    </xf>
  </cellXfs>
  <cellStyles count="2">
    <cellStyle name="Bình thường" xfId="0" builtinId="0"/>
    <cellStyle name="Dấu phẩy [0] 2" xfId="1" xr:uid="{5388F4C5-C00E-4C46-A8C2-D10E99F5F7D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tabSelected="1" workbookViewId="0">
      <selection activeCell="G35" sqref="G35"/>
    </sheetView>
  </sheetViews>
  <sheetFormatPr defaultRowHeight="14.4" x14ac:dyDescent="0.3"/>
  <cols>
    <col min="1" max="1" width="48" customWidth="1"/>
    <col min="2" max="2" width="35.44140625" customWidth="1"/>
  </cols>
  <sheetData>
    <row r="1" spans="1:2" ht="14.4" customHeight="1" x14ac:dyDescent="0.3">
      <c r="A1" s="47" t="s">
        <v>484</v>
      </c>
      <c r="B1" s="47"/>
    </row>
    <row r="2" spans="1:2" x14ac:dyDescent="0.3">
      <c r="A2" s="50" t="s">
        <v>2</v>
      </c>
      <c r="B2" s="49"/>
    </row>
    <row r="3" spans="1:2" x14ac:dyDescent="0.3">
      <c r="A3" s="51" t="s">
        <v>3</v>
      </c>
      <c r="B3" s="49"/>
    </row>
    <row r="4" spans="1:2" ht="26.4" x14ac:dyDescent="0.3">
      <c r="A4" s="4" t="s">
        <v>4</v>
      </c>
      <c r="B4" s="4" t="s">
        <v>5</v>
      </c>
    </row>
    <row r="5" spans="1:2" x14ac:dyDescent="0.3">
      <c r="A5" s="1" t="s">
        <v>6</v>
      </c>
      <c r="B5" s="2" t="s">
        <v>7</v>
      </c>
    </row>
    <row r="6" spans="1:2" x14ac:dyDescent="0.3">
      <c r="A6" s="1" t="s">
        <v>8</v>
      </c>
      <c r="B6" s="2" t="s">
        <v>9</v>
      </c>
    </row>
    <row r="7" spans="1:2" x14ac:dyDescent="0.3">
      <c r="A7" s="1" t="s">
        <v>10</v>
      </c>
      <c r="B7" s="2" t="s">
        <v>11</v>
      </c>
    </row>
    <row r="8" spans="1:2" x14ac:dyDescent="0.3">
      <c r="A8" s="1" t="s">
        <v>12</v>
      </c>
      <c r="B8" s="2" t="s">
        <v>7</v>
      </c>
    </row>
    <row r="9" spans="1:2" x14ac:dyDescent="0.3">
      <c r="A9" s="1" t="s">
        <v>13</v>
      </c>
      <c r="B9" s="2" t="s">
        <v>7</v>
      </c>
    </row>
    <row r="10" spans="1:2" x14ac:dyDescent="0.3">
      <c r="A10" s="1" t="s">
        <v>14</v>
      </c>
      <c r="B10" s="2" t="s">
        <v>15</v>
      </c>
    </row>
    <row r="11" spans="1:2" x14ac:dyDescent="0.3">
      <c r="A11" s="1" t="s">
        <v>16</v>
      </c>
      <c r="B11" s="2" t="s">
        <v>17</v>
      </c>
    </row>
    <row r="12" spans="1:2" x14ac:dyDescent="0.3">
      <c r="A12" s="1" t="s">
        <v>18</v>
      </c>
      <c r="B12" s="2" t="s">
        <v>19</v>
      </c>
    </row>
    <row r="13" spans="1:2" x14ac:dyDescent="0.3">
      <c r="A13" s="1" t="s">
        <v>20</v>
      </c>
      <c r="B13" s="2" t="s">
        <v>21</v>
      </c>
    </row>
    <row r="14" spans="1:2" x14ac:dyDescent="0.3">
      <c r="A14" s="1" t="s">
        <v>22</v>
      </c>
      <c r="B14" s="2" t="s">
        <v>15</v>
      </c>
    </row>
    <row r="15" spans="1:2" x14ac:dyDescent="0.3">
      <c r="A15" s="1" t="s">
        <v>23</v>
      </c>
      <c r="B15" s="2" t="s">
        <v>0</v>
      </c>
    </row>
    <row r="16" spans="1:2" x14ac:dyDescent="0.3">
      <c r="A16" s="1" t="s">
        <v>24</v>
      </c>
      <c r="B16" s="2" t="s">
        <v>11</v>
      </c>
    </row>
    <row r="17" spans="1:2" x14ac:dyDescent="0.3">
      <c r="A17" s="1" t="s">
        <v>25</v>
      </c>
      <c r="B17" s="2" t="s">
        <v>1</v>
      </c>
    </row>
    <row r="18" spans="1:2" x14ac:dyDescent="0.3">
      <c r="A18" s="1" t="s">
        <v>26</v>
      </c>
      <c r="B18" s="2" t="s">
        <v>27</v>
      </c>
    </row>
    <row r="19" spans="1:2" x14ac:dyDescent="0.3">
      <c r="A19" s="1" t="s">
        <v>28</v>
      </c>
      <c r="B19" s="2" t="s">
        <v>7</v>
      </c>
    </row>
    <row r="20" spans="1:2" x14ac:dyDescent="0.3">
      <c r="A20" s="1" t="s">
        <v>29</v>
      </c>
      <c r="B20" s="2" t="s">
        <v>15</v>
      </c>
    </row>
    <row r="21" spans="1:2" x14ac:dyDescent="0.3">
      <c r="A21" s="3"/>
      <c r="B21" s="3"/>
    </row>
    <row r="22" spans="1:2" ht="27.6" customHeight="1" x14ac:dyDescent="0.3">
      <c r="A22" s="48" t="s">
        <v>30</v>
      </c>
      <c r="B22" s="49"/>
    </row>
    <row r="23" spans="1:2" x14ac:dyDescent="0.3">
      <c r="A23" s="48" t="s">
        <v>31</v>
      </c>
      <c r="B23" s="49"/>
    </row>
    <row r="24" spans="1:2" x14ac:dyDescent="0.3">
      <c r="A24" s="48" t="s">
        <v>32</v>
      </c>
      <c r="B24" s="49"/>
    </row>
  </sheetData>
  <mergeCells count="6">
    <mergeCell ref="A1:B1"/>
    <mergeCell ref="A24:B24"/>
    <mergeCell ref="A2:B2"/>
    <mergeCell ref="A23:B23"/>
    <mergeCell ref="A3:B3"/>
    <mergeCell ref="A22:B22"/>
  </mergeCells>
  <pageMargins left="0.75" right="0.75" top="1" bottom="1" header="0.5" footer="0.5"/>
  <ignoredErrors>
    <ignoredError sqref="B5:B2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10480-8B85-4C85-A7E8-A3538F82A961}">
  <dimension ref="A1:H60"/>
  <sheetViews>
    <sheetView topLeftCell="A21" workbookViewId="0">
      <selection activeCell="F8" sqref="F8"/>
    </sheetView>
  </sheetViews>
  <sheetFormatPr defaultRowHeight="14.4" x14ac:dyDescent="0.3"/>
  <cols>
    <col min="1" max="1" width="37.5546875" customWidth="1"/>
    <col min="2" max="6" width="25" customWidth="1"/>
    <col min="7" max="7" width="32.77734375" customWidth="1"/>
    <col min="8" max="8" width="25" customWidth="1"/>
  </cols>
  <sheetData>
    <row r="1" spans="1:8" x14ac:dyDescent="0.3">
      <c r="A1" s="5"/>
      <c r="B1" s="5"/>
      <c r="C1" s="5"/>
      <c r="D1" s="5"/>
      <c r="E1" s="5"/>
      <c r="F1" s="5"/>
      <c r="G1" s="5"/>
      <c r="H1" s="5"/>
    </row>
    <row r="2" spans="1:8" x14ac:dyDescent="0.3">
      <c r="A2" s="5"/>
      <c r="B2" s="5"/>
      <c r="C2" s="6" t="s">
        <v>50</v>
      </c>
      <c r="D2" s="5"/>
      <c r="E2" s="5"/>
      <c r="F2" s="5"/>
      <c r="G2" s="5"/>
      <c r="H2" s="5"/>
    </row>
    <row r="3" spans="1:8" x14ac:dyDescent="0.3">
      <c r="A3" s="7" t="s">
        <v>51</v>
      </c>
      <c r="B3" s="5"/>
      <c r="C3" s="5"/>
      <c r="D3" s="5"/>
      <c r="E3" s="5"/>
      <c r="F3" s="5"/>
      <c r="G3" s="5"/>
      <c r="H3" s="5"/>
    </row>
    <row r="4" spans="1:8" x14ac:dyDescent="0.3">
      <c r="A4" s="6" t="s">
        <v>52</v>
      </c>
      <c r="B4" s="5"/>
      <c r="C4" s="5"/>
      <c r="D4" s="5"/>
      <c r="E4" s="5"/>
      <c r="F4" s="5"/>
      <c r="G4" s="5"/>
      <c r="H4" s="5"/>
    </row>
    <row r="5" spans="1:8" ht="13.8" customHeight="1" x14ac:dyDescent="0.3">
      <c r="A5" s="7" t="s">
        <v>53</v>
      </c>
      <c r="B5" s="5"/>
      <c r="C5" s="5"/>
      <c r="D5" s="5"/>
      <c r="E5" s="5"/>
      <c r="F5" s="5"/>
      <c r="G5" s="5"/>
      <c r="H5" s="5"/>
    </row>
    <row r="6" spans="1:8" x14ac:dyDescent="0.3">
      <c r="A6" s="8" t="s">
        <v>93</v>
      </c>
      <c r="B6" s="5"/>
      <c r="C6" s="5"/>
      <c r="D6" s="5"/>
      <c r="E6" s="5"/>
      <c r="F6" s="5"/>
      <c r="G6" s="5"/>
      <c r="H6" s="5"/>
    </row>
    <row r="7" spans="1:8" x14ac:dyDescent="0.3">
      <c r="A7" s="9" t="s">
        <v>54</v>
      </c>
      <c r="B7" s="10" t="s">
        <v>55</v>
      </c>
      <c r="C7" s="9" t="s">
        <v>56</v>
      </c>
      <c r="D7" s="10" t="s">
        <v>57</v>
      </c>
      <c r="E7" s="11"/>
      <c r="F7" s="9" t="s">
        <v>58</v>
      </c>
      <c r="G7" s="9" t="s">
        <v>59</v>
      </c>
      <c r="H7" s="12" t="s">
        <v>60</v>
      </c>
    </row>
    <row r="8" spans="1:8" x14ac:dyDescent="0.3">
      <c r="A8" s="13">
        <v>200</v>
      </c>
      <c r="B8" s="12">
        <v>6</v>
      </c>
      <c r="C8" s="14">
        <v>1200</v>
      </c>
      <c r="D8" s="13">
        <v>60</v>
      </c>
      <c r="E8" s="14">
        <v>72000</v>
      </c>
      <c r="F8" s="14">
        <v>48000</v>
      </c>
      <c r="G8" s="15" t="s">
        <v>61</v>
      </c>
      <c r="H8" s="13">
        <v>2</v>
      </c>
    </row>
    <row r="9" spans="1:8" x14ac:dyDescent="0.3">
      <c r="A9" s="16"/>
      <c r="B9" s="16"/>
      <c r="C9" s="16"/>
      <c r="D9" s="16"/>
      <c r="E9" s="16"/>
      <c r="F9" s="14">
        <v>40000</v>
      </c>
      <c r="G9" s="15" t="s">
        <v>62</v>
      </c>
      <c r="H9" s="13">
        <v>2</v>
      </c>
    </row>
    <row r="10" spans="1:8" x14ac:dyDescent="0.3">
      <c r="A10" s="16"/>
      <c r="B10" s="16"/>
      <c r="C10" s="16"/>
      <c r="D10" s="16"/>
      <c r="E10" s="16"/>
      <c r="F10" s="14">
        <v>36000</v>
      </c>
      <c r="G10" s="15" t="s">
        <v>63</v>
      </c>
      <c r="H10" s="13">
        <v>2</v>
      </c>
    </row>
    <row r="11" spans="1:8" x14ac:dyDescent="0.3">
      <c r="A11" s="16"/>
      <c r="B11" s="16"/>
      <c r="C11" s="16"/>
      <c r="D11" s="16"/>
      <c r="E11" s="16"/>
      <c r="F11" s="14">
        <v>28000</v>
      </c>
      <c r="G11" s="15" t="s">
        <v>64</v>
      </c>
      <c r="H11" s="13">
        <v>3</v>
      </c>
    </row>
    <row r="12" spans="1:8" x14ac:dyDescent="0.3">
      <c r="A12" s="16"/>
      <c r="B12" s="16"/>
      <c r="C12" s="16"/>
      <c r="D12" s="16"/>
      <c r="E12" s="16"/>
      <c r="F12" s="14">
        <v>28000</v>
      </c>
      <c r="G12" s="15" t="s">
        <v>65</v>
      </c>
      <c r="H12" s="13">
        <v>3</v>
      </c>
    </row>
    <row r="13" spans="1:8" x14ac:dyDescent="0.3">
      <c r="A13" s="16"/>
      <c r="B13" s="16"/>
      <c r="C13" s="16"/>
      <c r="D13" s="16"/>
      <c r="E13" s="16"/>
      <c r="F13" s="14">
        <v>22000</v>
      </c>
      <c r="G13" s="15" t="s">
        <v>66</v>
      </c>
      <c r="H13" s="13">
        <v>3</v>
      </c>
    </row>
    <row r="14" spans="1:8" x14ac:dyDescent="0.3">
      <c r="A14" s="16"/>
      <c r="B14" s="16"/>
      <c r="C14" s="16"/>
      <c r="D14" s="16"/>
      <c r="E14" s="16"/>
      <c r="F14" s="14">
        <v>20000</v>
      </c>
      <c r="G14" s="15" t="s">
        <v>67</v>
      </c>
      <c r="H14" s="13">
        <v>4</v>
      </c>
    </row>
    <row r="15" spans="1:8" x14ac:dyDescent="0.3">
      <c r="A15" s="16"/>
      <c r="B15" s="16"/>
      <c r="C15" s="16"/>
      <c r="D15" s="16"/>
      <c r="E15" s="16"/>
      <c r="F15" s="13">
        <v>15000</v>
      </c>
      <c r="G15" s="16"/>
      <c r="H15" s="13">
        <v>5</v>
      </c>
    </row>
    <row r="16" spans="1:8" x14ac:dyDescent="0.3">
      <c r="A16" s="5"/>
      <c r="B16" s="5"/>
      <c r="C16" s="5"/>
      <c r="D16" s="5"/>
      <c r="E16" s="5"/>
      <c r="F16" s="5"/>
      <c r="G16" s="5"/>
      <c r="H16" s="5"/>
    </row>
    <row r="17" spans="1:8" x14ac:dyDescent="0.3">
      <c r="A17" s="5"/>
      <c r="B17" s="5"/>
      <c r="C17" s="5"/>
      <c r="D17" s="5"/>
      <c r="E17" s="5"/>
      <c r="F17" s="5"/>
      <c r="G17" s="5"/>
      <c r="H17" s="5"/>
    </row>
    <row r="18" spans="1:8" ht="27" x14ac:dyDescent="0.3">
      <c r="A18" s="15" t="s">
        <v>68</v>
      </c>
      <c r="B18" s="16"/>
      <c r="C18" s="16"/>
      <c r="D18" s="16"/>
      <c r="E18" s="15" t="s">
        <v>69</v>
      </c>
      <c r="F18" s="15" t="s">
        <v>70</v>
      </c>
      <c r="G18" s="16"/>
      <c r="H18" s="16"/>
    </row>
    <row r="19" spans="1:8" x14ac:dyDescent="0.3">
      <c r="A19" s="16"/>
      <c r="B19" s="16"/>
      <c r="C19" s="16"/>
      <c r="D19" s="16"/>
      <c r="E19" s="14">
        <v>9000</v>
      </c>
      <c r="F19" s="13">
        <v>8</v>
      </c>
      <c r="G19" s="15" t="s">
        <v>482</v>
      </c>
      <c r="H19" s="13" t="s">
        <v>71</v>
      </c>
    </row>
    <row r="20" spans="1:8" x14ac:dyDescent="0.3">
      <c r="A20" s="16"/>
      <c r="B20" s="16"/>
      <c r="C20" s="16"/>
      <c r="D20" s="16"/>
      <c r="E20" s="16"/>
      <c r="F20" s="13" t="s">
        <v>72</v>
      </c>
      <c r="G20" s="15" t="s">
        <v>73</v>
      </c>
      <c r="H20" s="12">
        <v>3</v>
      </c>
    </row>
    <row r="21" spans="1:8" x14ac:dyDescent="0.3">
      <c r="A21" s="16"/>
      <c r="B21" s="16"/>
      <c r="C21" s="16"/>
      <c r="D21" s="16"/>
      <c r="E21" s="16"/>
      <c r="F21" s="13" t="s">
        <v>74</v>
      </c>
      <c r="G21" s="15" t="s">
        <v>75</v>
      </c>
      <c r="H21" s="13">
        <v>2</v>
      </c>
    </row>
    <row r="22" spans="1:8" x14ac:dyDescent="0.3">
      <c r="A22" s="16"/>
      <c r="B22" s="16"/>
      <c r="C22" s="16"/>
      <c r="D22" s="16"/>
      <c r="E22" s="16"/>
      <c r="F22" s="13" t="s">
        <v>76</v>
      </c>
      <c r="G22" s="15" t="s">
        <v>77</v>
      </c>
      <c r="H22" s="13">
        <v>2</v>
      </c>
    </row>
    <row r="23" spans="1:8" x14ac:dyDescent="0.3">
      <c r="A23" s="16"/>
      <c r="B23" s="16"/>
      <c r="C23" s="16"/>
      <c r="D23" s="16"/>
      <c r="E23" s="16"/>
      <c r="F23" s="13" t="s">
        <v>78</v>
      </c>
      <c r="G23" s="15" t="s">
        <v>79</v>
      </c>
      <c r="H23" s="13">
        <v>2</v>
      </c>
    </row>
    <row r="24" spans="1:8" x14ac:dyDescent="0.3">
      <c r="A24" s="16"/>
      <c r="B24" s="16"/>
      <c r="C24" s="16"/>
      <c r="D24" s="16"/>
      <c r="E24" s="16"/>
      <c r="F24" s="13" t="s">
        <v>80</v>
      </c>
      <c r="G24" s="15" t="s">
        <v>81</v>
      </c>
      <c r="H24" s="13">
        <v>1</v>
      </c>
    </row>
    <row r="25" spans="1:8" x14ac:dyDescent="0.3">
      <c r="A25" s="16"/>
      <c r="B25" s="16"/>
      <c r="C25" s="16"/>
      <c r="D25" s="16"/>
      <c r="E25" s="16"/>
      <c r="F25" s="13" t="s">
        <v>82</v>
      </c>
      <c r="G25" s="15" t="s">
        <v>83</v>
      </c>
      <c r="H25" s="13">
        <v>1</v>
      </c>
    </row>
    <row r="26" spans="1:8" x14ac:dyDescent="0.3">
      <c r="A26" s="16"/>
      <c r="B26" s="16"/>
      <c r="C26" s="16"/>
      <c r="D26" s="16"/>
      <c r="E26" s="16"/>
      <c r="F26" s="13" t="s">
        <v>84</v>
      </c>
      <c r="G26" s="15" t="s">
        <v>85</v>
      </c>
      <c r="H26" s="13">
        <v>1</v>
      </c>
    </row>
    <row r="27" spans="1:8" x14ac:dyDescent="0.3">
      <c r="A27" s="16"/>
      <c r="B27" s="16"/>
      <c r="C27" s="16"/>
      <c r="D27" s="16"/>
      <c r="E27" s="16"/>
      <c r="F27" s="13" t="s">
        <v>86</v>
      </c>
      <c r="G27" s="15" t="s">
        <v>87</v>
      </c>
      <c r="H27" s="13">
        <v>1</v>
      </c>
    </row>
    <row r="28" spans="1:8" x14ac:dyDescent="0.3">
      <c r="A28" s="16"/>
      <c r="B28" s="16"/>
      <c r="C28" s="16"/>
      <c r="D28" s="16"/>
      <c r="E28" s="16"/>
      <c r="F28" s="16"/>
      <c r="G28" s="16"/>
      <c r="H28" s="16"/>
    </row>
    <row r="29" spans="1:8" x14ac:dyDescent="0.3">
      <c r="A29" s="5"/>
      <c r="B29" s="5"/>
      <c r="C29" s="5"/>
      <c r="D29" s="5"/>
      <c r="E29" s="5"/>
      <c r="F29" s="5"/>
      <c r="G29" s="5"/>
      <c r="H29" s="5"/>
    </row>
    <row r="30" spans="1:8" x14ac:dyDescent="0.3">
      <c r="A30" s="46" t="s">
        <v>483</v>
      </c>
      <c r="B30" s="46"/>
      <c r="C30" s="5"/>
      <c r="D30" s="5"/>
      <c r="E30" s="5"/>
      <c r="F30" s="5"/>
      <c r="G30" s="5"/>
      <c r="H30" s="5"/>
    </row>
    <row r="31" spans="1:8" x14ac:dyDescent="0.3">
      <c r="A31" s="5"/>
      <c r="B31" s="5"/>
      <c r="C31" s="5"/>
      <c r="D31" s="5"/>
      <c r="E31" s="5"/>
      <c r="F31" s="5"/>
      <c r="G31" s="5"/>
      <c r="H31" s="5"/>
    </row>
    <row r="32" spans="1:8" x14ac:dyDescent="0.3">
      <c r="A32" s="18" t="s">
        <v>88</v>
      </c>
      <c r="B32" s="18"/>
      <c r="C32" s="18" t="s">
        <v>89</v>
      </c>
      <c r="D32" s="5"/>
      <c r="E32" s="5"/>
      <c r="F32" s="5"/>
      <c r="G32" s="5"/>
      <c r="H32" s="5"/>
    </row>
    <row r="33" spans="1:8" ht="27.6" x14ac:dyDescent="0.3">
      <c r="A33" s="16" t="s">
        <v>90</v>
      </c>
      <c r="B33" s="16"/>
      <c r="C33" s="16"/>
      <c r="D33" s="5"/>
      <c r="E33" s="5"/>
      <c r="F33" s="5"/>
      <c r="G33" s="5"/>
      <c r="H33" s="5"/>
    </row>
    <row r="34" spans="1:8" x14ac:dyDescent="0.3">
      <c r="A34" s="16" t="s">
        <v>91</v>
      </c>
      <c r="B34" s="16"/>
      <c r="C34" s="17">
        <v>50</v>
      </c>
      <c r="D34" s="5"/>
      <c r="E34" s="5"/>
      <c r="F34" s="5"/>
      <c r="G34" s="5"/>
      <c r="H34" s="5"/>
    </row>
    <row r="35" spans="1:8" x14ac:dyDescent="0.3">
      <c r="A35" s="16" t="s">
        <v>92</v>
      </c>
      <c r="B35" s="16"/>
      <c r="C35" s="17">
        <v>60</v>
      </c>
      <c r="D35" s="5"/>
      <c r="E35" s="5"/>
      <c r="F35" s="5"/>
      <c r="G35" s="5"/>
      <c r="H35" s="5"/>
    </row>
    <row r="36" spans="1:8" x14ac:dyDescent="0.3">
      <c r="A36" s="5"/>
      <c r="B36" s="5"/>
      <c r="C36" s="5"/>
      <c r="D36" s="5"/>
      <c r="E36" s="5"/>
      <c r="F36" s="5"/>
      <c r="G36" s="5"/>
      <c r="H36" s="5"/>
    </row>
    <row r="37" spans="1:8" x14ac:dyDescent="0.3">
      <c r="A37" s="5"/>
      <c r="B37" s="5"/>
      <c r="C37" s="5"/>
      <c r="D37" s="5"/>
      <c r="E37" s="5"/>
      <c r="F37" s="5"/>
      <c r="G37" s="5"/>
      <c r="H37" s="5"/>
    </row>
    <row r="41" spans="1:8" x14ac:dyDescent="0.3">
      <c r="A41" t="s">
        <v>45</v>
      </c>
    </row>
    <row r="42" spans="1:8" x14ac:dyDescent="0.3">
      <c r="A42" t="s">
        <v>46</v>
      </c>
    </row>
    <row r="44" spans="1:8" x14ac:dyDescent="0.3">
      <c r="A44" t="s">
        <v>33</v>
      </c>
    </row>
    <row r="45" spans="1:8" x14ac:dyDescent="0.3">
      <c r="A45" t="s">
        <v>36</v>
      </c>
    </row>
    <row r="46" spans="1:8" x14ac:dyDescent="0.3">
      <c r="A46" t="s">
        <v>47</v>
      </c>
    </row>
    <row r="47" spans="1:8" x14ac:dyDescent="0.3">
      <c r="A47" t="s">
        <v>48</v>
      </c>
    </row>
    <row r="48" spans="1:8" x14ac:dyDescent="0.3">
      <c r="A48" t="s">
        <v>49</v>
      </c>
    </row>
    <row r="50" spans="1:1" x14ac:dyDescent="0.3">
      <c r="A50" t="s">
        <v>37</v>
      </c>
    </row>
    <row r="51" spans="1:1" x14ac:dyDescent="0.3">
      <c r="A51" t="s">
        <v>38</v>
      </c>
    </row>
    <row r="52" spans="1:1" x14ac:dyDescent="0.3">
      <c r="A52" t="s">
        <v>39</v>
      </c>
    </row>
    <row r="53" spans="1:1" x14ac:dyDescent="0.3">
      <c r="A53" t="s">
        <v>40</v>
      </c>
    </row>
    <row r="54" spans="1:1" x14ac:dyDescent="0.3">
      <c r="A54" t="s">
        <v>41</v>
      </c>
    </row>
    <row r="56" spans="1:1" x14ac:dyDescent="0.3">
      <c r="A56" t="s">
        <v>34</v>
      </c>
    </row>
    <row r="57" spans="1:1" x14ac:dyDescent="0.3">
      <c r="A57" t="s">
        <v>42</v>
      </c>
    </row>
    <row r="58" spans="1:1" x14ac:dyDescent="0.3">
      <c r="A58" t="s">
        <v>43</v>
      </c>
    </row>
    <row r="59" spans="1:1" x14ac:dyDescent="0.3">
      <c r="A59" t="s">
        <v>35</v>
      </c>
    </row>
    <row r="60" spans="1:1" x14ac:dyDescent="0.3">
      <c r="A60" t="s">
        <v>44</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E35E-6AF7-4874-AE47-F96D369AD011}">
  <dimension ref="A1:K34"/>
  <sheetViews>
    <sheetView topLeftCell="A8" workbookViewId="0">
      <selection activeCell="M28" sqref="M28"/>
    </sheetView>
  </sheetViews>
  <sheetFormatPr defaultRowHeight="14.4" x14ac:dyDescent="0.3"/>
  <cols>
    <col min="1" max="1" width="11.6640625" customWidth="1"/>
    <col min="2" max="2" width="14" customWidth="1"/>
    <col min="3" max="3" width="11.77734375" customWidth="1"/>
    <col min="4" max="4" width="12.44140625" customWidth="1"/>
    <col min="5" max="5" width="12.6640625" customWidth="1"/>
    <col min="6" max="6" width="12.88671875" customWidth="1"/>
    <col min="7" max="7" width="17" customWidth="1"/>
    <col min="8" max="8" width="14.77734375" customWidth="1"/>
    <col min="10" max="10" width="58.88671875" customWidth="1"/>
    <col min="11" max="11" width="19.88671875" customWidth="1"/>
  </cols>
  <sheetData>
    <row r="1" spans="1:11" x14ac:dyDescent="0.3">
      <c r="A1" s="5"/>
      <c r="B1" s="5"/>
      <c r="C1" s="5"/>
      <c r="D1" s="5"/>
      <c r="E1" s="5"/>
      <c r="F1" s="5"/>
      <c r="G1" s="5"/>
      <c r="H1" s="5"/>
      <c r="I1" s="5"/>
      <c r="J1" s="5"/>
      <c r="K1" s="5"/>
    </row>
    <row r="2" spans="1:11" x14ac:dyDescent="0.3">
      <c r="A2" s="5"/>
      <c r="B2" s="5"/>
      <c r="C2" s="6" t="s">
        <v>94</v>
      </c>
      <c r="D2" s="5"/>
      <c r="E2" s="5"/>
      <c r="F2" s="5"/>
      <c r="G2" s="5"/>
      <c r="H2" s="5"/>
      <c r="I2" s="5"/>
      <c r="J2" s="5"/>
      <c r="K2" s="5"/>
    </row>
    <row r="3" spans="1:11" ht="27" x14ac:dyDescent="0.3">
      <c r="A3" s="7" t="s">
        <v>51</v>
      </c>
      <c r="B3" s="5"/>
      <c r="C3" s="5"/>
      <c r="D3" s="5"/>
      <c r="E3" s="5"/>
      <c r="F3" s="5"/>
      <c r="G3" s="5"/>
      <c r="H3" s="5"/>
      <c r="I3" s="5"/>
      <c r="J3" s="5"/>
      <c r="K3" s="5"/>
    </row>
    <row r="4" spans="1:11" x14ac:dyDescent="0.3">
      <c r="A4" s="6" t="s">
        <v>52</v>
      </c>
      <c r="B4" s="5"/>
      <c r="C4" s="5"/>
      <c r="D4" s="5"/>
      <c r="E4" s="5"/>
      <c r="F4" s="5"/>
      <c r="G4" s="5"/>
      <c r="H4" s="5"/>
      <c r="I4" s="5"/>
      <c r="J4" s="5"/>
      <c r="K4" s="5"/>
    </row>
    <row r="5" spans="1:11" x14ac:dyDescent="0.3">
      <c r="A5" s="6" t="s">
        <v>53</v>
      </c>
      <c r="B5" s="5"/>
      <c r="C5" s="5"/>
      <c r="D5" s="5"/>
      <c r="E5" s="5"/>
      <c r="F5" s="5"/>
      <c r="G5" s="5"/>
      <c r="H5" s="5"/>
      <c r="I5" s="5"/>
      <c r="J5" s="5"/>
      <c r="K5" s="5"/>
    </row>
    <row r="6" spans="1:11" x14ac:dyDescent="0.3">
      <c r="A6" s="6" t="s">
        <v>95</v>
      </c>
      <c r="B6" s="5"/>
      <c r="C6" s="5"/>
      <c r="D6" s="5"/>
      <c r="E6" s="5"/>
      <c r="F6" s="5"/>
      <c r="G6" s="5"/>
      <c r="H6" s="5"/>
      <c r="I6" s="5"/>
      <c r="J6" s="5" t="s">
        <v>114</v>
      </c>
      <c r="K6" s="5"/>
    </row>
    <row r="7" spans="1:11" x14ac:dyDescent="0.3">
      <c r="A7" s="5"/>
      <c r="B7" s="5"/>
      <c r="C7" s="5"/>
      <c r="D7" s="5"/>
      <c r="E7" s="5"/>
      <c r="F7" s="5"/>
      <c r="G7" s="5"/>
      <c r="H7" s="5"/>
      <c r="I7" s="5"/>
      <c r="J7" s="5"/>
      <c r="K7" s="5"/>
    </row>
    <row r="8" spans="1:11" ht="26.4" x14ac:dyDescent="0.3">
      <c r="A8" s="22" t="s">
        <v>96</v>
      </c>
      <c r="B8" s="23" t="s">
        <v>97</v>
      </c>
      <c r="C8" s="23" t="s">
        <v>56</v>
      </c>
      <c r="D8" s="23" t="s">
        <v>98</v>
      </c>
      <c r="E8" s="24" t="s">
        <v>111</v>
      </c>
      <c r="F8" s="22" t="s">
        <v>418</v>
      </c>
      <c r="G8" s="23" t="s">
        <v>59</v>
      </c>
      <c r="H8" s="24" t="s">
        <v>112</v>
      </c>
      <c r="I8" s="5"/>
      <c r="J8" s="19" t="s">
        <v>99</v>
      </c>
      <c r="K8" s="19" t="s">
        <v>100</v>
      </c>
    </row>
    <row r="9" spans="1:11" ht="20.399999999999999" customHeight="1" x14ac:dyDescent="0.3">
      <c r="A9" s="31">
        <v>3000</v>
      </c>
      <c r="B9" s="9">
        <v>3</v>
      </c>
      <c r="C9" s="21">
        <f>A9*B9</f>
        <v>9000</v>
      </c>
      <c r="D9" s="20">
        <v>20</v>
      </c>
      <c r="E9" s="32">
        <f>C9*D9</f>
        <v>180000</v>
      </c>
      <c r="F9" s="25">
        <v>46000</v>
      </c>
      <c r="G9" s="13" t="s">
        <v>101</v>
      </c>
      <c r="H9" s="26">
        <f>IFERROR(MROUND(E9/F9,1),"")</f>
        <v>4</v>
      </c>
      <c r="I9" s="5"/>
      <c r="J9" s="15" t="s">
        <v>102</v>
      </c>
      <c r="K9" s="20">
        <v>10</v>
      </c>
    </row>
    <row r="10" spans="1:11" ht="20.399999999999999" customHeight="1" x14ac:dyDescent="0.3">
      <c r="A10" s="31">
        <v>290</v>
      </c>
      <c r="B10" s="20">
        <v>3</v>
      </c>
      <c r="C10" s="21">
        <f>A10*B10</f>
        <v>870</v>
      </c>
      <c r="D10" s="20">
        <v>20</v>
      </c>
      <c r="E10" s="32">
        <f t="shared" ref="E10:E24" si="0">C10*D10</f>
        <v>17400</v>
      </c>
      <c r="F10" s="25">
        <v>3080</v>
      </c>
      <c r="G10" s="13" t="s">
        <v>110</v>
      </c>
      <c r="H10" s="26">
        <f t="shared" ref="H10:H24" si="1">IFERROR(MROUND(E10/F10,1),"")</f>
        <v>6</v>
      </c>
      <c r="I10" s="5"/>
      <c r="J10" s="15" t="s">
        <v>103</v>
      </c>
      <c r="K10" s="20">
        <v>20</v>
      </c>
    </row>
    <row r="11" spans="1:11" ht="20.399999999999999" customHeight="1" x14ac:dyDescent="0.3">
      <c r="A11" s="33"/>
      <c r="B11" s="16"/>
      <c r="C11" s="16"/>
      <c r="D11" s="16"/>
      <c r="E11" s="32">
        <f>C11*D11</f>
        <v>0</v>
      </c>
      <c r="F11" s="25"/>
      <c r="G11" s="13"/>
      <c r="H11" s="26" t="str">
        <f t="shared" si="1"/>
        <v/>
      </c>
      <c r="I11" s="5"/>
      <c r="J11" s="15" t="s">
        <v>104</v>
      </c>
      <c r="K11" s="20">
        <v>40</v>
      </c>
    </row>
    <row r="12" spans="1:11" ht="20.399999999999999" customHeight="1" x14ac:dyDescent="0.3">
      <c r="A12" s="33"/>
      <c r="B12" s="16"/>
      <c r="C12" s="16"/>
      <c r="D12" s="16"/>
      <c r="E12" s="32">
        <f t="shared" si="0"/>
        <v>0</v>
      </c>
      <c r="F12" s="25"/>
      <c r="G12" s="13"/>
      <c r="H12" s="26" t="str">
        <f t="shared" si="1"/>
        <v/>
      </c>
      <c r="I12" s="5"/>
      <c r="J12" s="15" t="s">
        <v>105</v>
      </c>
      <c r="K12" s="20">
        <v>60</v>
      </c>
    </row>
    <row r="13" spans="1:11" ht="20.399999999999999" customHeight="1" x14ac:dyDescent="0.3">
      <c r="A13" s="33"/>
      <c r="B13" s="16"/>
      <c r="C13" s="16"/>
      <c r="D13" s="16"/>
      <c r="E13" s="32">
        <f t="shared" si="0"/>
        <v>0</v>
      </c>
      <c r="F13" s="25"/>
      <c r="G13" s="13"/>
      <c r="H13" s="26" t="str">
        <f t="shared" si="1"/>
        <v/>
      </c>
      <c r="I13" s="5"/>
      <c r="J13" s="15" t="s">
        <v>106</v>
      </c>
      <c r="K13" s="20">
        <v>40</v>
      </c>
    </row>
    <row r="14" spans="1:11" ht="20.399999999999999" customHeight="1" x14ac:dyDescent="0.3">
      <c r="A14" s="33"/>
      <c r="B14" s="16"/>
      <c r="C14" s="16"/>
      <c r="D14" s="16"/>
      <c r="E14" s="32">
        <f t="shared" si="0"/>
        <v>0</v>
      </c>
      <c r="F14" s="25"/>
      <c r="G14" s="13"/>
      <c r="H14" s="26" t="str">
        <f t="shared" si="1"/>
        <v/>
      </c>
      <c r="I14" s="5"/>
      <c r="J14" s="15" t="s">
        <v>107</v>
      </c>
      <c r="K14" s="20">
        <v>25</v>
      </c>
    </row>
    <row r="15" spans="1:11" ht="20.399999999999999" customHeight="1" x14ac:dyDescent="0.3">
      <c r="A15" s="33"/>
      <c r="B15" s="16"/>
      <c r="C15" s="16"/>
      <c r="D15" s="16"/>
      <c r="E15" s="32">
        <f t="shared" si="0"/>
        <v>0</v>
      </c>
      <c r="F15" s="25"/>
      <c r="G15" s="13"/>
      <c r="H15" s="26" t="str">
        <f t="shared" si="1"/>
        <v/>
      </c>
      <c r="I15" s="5"/>
      <c r="J15" s="15" t="s">
        <v>108</v>
      </c>
      <c r="K15" s="20">
        <v>20</v>
      </c>
    </row>
    <row r="16" spans="1:11" ht="20.399999999999999" customHeight="1" x14ac:dyDescent="0.3">
      <c r="A16" s="33"/>
      <c r="B16" s="16"/>
      <c r="C16" s="16"/>
      <c r="D16" s="16"/>
      <c r="E16" s="32">
        <f t="shared" si="0"/>
        <v>0</v>
      </c>
      <c r="F16" s="27"/>
      <c r="G16" s="13"/>
      <c r="H16" s="26" t="str">
        <f t="shared" si="1"/>
        <v/>
      </c>
      <c r="I16" s="5"/>
      <c r="J16" s="15" t="s">
        <v>109</v>
      </c>
      <c r="K16" s="20">
        <v>10</v>
      </c>
    </row>
    <row r="17" spans="1:11" ht="20.399999999999999" customHeight="1" x14ac:dyDescent="0.3">
      <c r="A17" s="33"/>
      <c r="B17" s="16"/>
      <c r="C17" s="16"/>
      <c r="D17" s="16"/>
      <c r="E17" s="32">
        <f t="shared" si="0"/>
        <v>0</v>
      </c>
      <c r="F17" s="27"/>
      <c r="G17" s="13"/>
      <c r="H17" s="26" t="str">
        <f t="shared" si="1"/>
        <v/>
      </c>
      <c r="I17" s="5"/>
      <c r="J17" s="5"/>
      <c r="K17" s="5"/>
    </row>
    <row r="18" spans="1:11" ht="20.399999999999999" customHeight="1" x14ac:dyDescent="0.3">
      <c r="A18" s="33"/>
      <c r="B18" s="16"/>
      <c r="C18" s="16"/>
      <c r="D18" s="16"/>
      <c r="E18" s="32">
        <f t="shared" si="0"/>
        <v>0</v>
      </c>
      <c r="F18" s="27"/>
      <c r="G18" s="16"/>
      <c r="H18" s="26" t="str">
        <f t="shared" si="1"/>
        <v/>
      </c>
      <c r="I18" s="5"/>
      <c r="J18" s="5"/>
      <c r="K18" s="5"/>
    </row>
    <row r="19" spans="1:11" ht="20.399999999999999" customHeight="1" x14ac:dyDescent="0.3">
      <c r="A19" s="33"/>
      <c r="B19" s="16"/>
      <c r="C19" s="16"/>
      <c r="D19" s="16"/>
      <c r="E19" s="32">
        <f t="shared" si="0"/>
        <v>0</v>
      </c>
      <c r="F19" s="27"/>
      <c r="G19" s="13"/>
      <c r="H19" s="26" t="str">
        <f t="shared" si="1"/>
        <v/>
      </c>
      <c r="I19" s="5"/>
      <c r="J19" s="5"/>
      <c r="K19" s="5"/>
    </row>
    <row r="20" spans="1:11" ht="20.399999999999999" customHeight="1" x14ac:dyDescent="0.3">
      <c r="A20" s="33"/>
      <c r="B20" s="16"/>
      <c r="C20" s="16"/>
      <c r="D20" s="16"/>
      <c r="E20" s="32">
        <f t="shared" si="0"/>
        <v>0</v>
      </c>
      <c r="F20" s="27"/>
      <c r="G20" s="13"/>
      <c r="H20" s="26" t="str">
        <f t="shared" si="1"/>
        <v/>
      </c>
      <c r="I20" s="5"/>
      <c r="J20" s="5"/>
      <c r="K20" s="5"/>
    </row>
    <row r="21" spans="1:11" ht="20.399999999999999" customHeight="1" x14ac:dyDescent="0.3">
      <c r="A21" s="33"/>
      <c r="B21" s="16"/>
      <c r="C21" s="16"/>
      <c r="D21" s="16"/>
      <c r="E21" s="32">
        <f t="shared" si="0"/>
        <v>0</v>
      </c>
      <c r="F21" s="27"/>
      <c r="G21" s="13"/>
      <c r="H21" s="26" t="str">
        <f t="shared" si="1"/>
        <v/>
      </c>
      <c r="I21" s="5"/>
      <c r="J21" s="5"/>
      <c r="K21" s="5"/>
    </row>
    <row r="22" spans="1:11" ht="20.399999999999999" customHeight="1" x14ac:dyDescent="0.3">
      <c r="A22" s="33"/>
      <c r="B22" s="16"/>
      <c r="C22" s="16"/>
      <c r="D22" s="16"/>
      <c r="E22" s="32">
        <f t="shared" si="0"/>
        <v>0</v>
      </c>
      <c r="F22" s="27"/>
      <c r="G22" s="13"/>
      <c r="H22" s="26" t="str">
        <f t="shared" si="1"/>
        <v/>
      </c>
      <c r="I22" s="5"/>
      <c r="J22" s="5"/>
      <c r="K22" s="5"/>
    </row>
    <row r="23" spans="1:11" ht="20.399999999999999" customHeight="1" x14ac:dyDescent="0.3">
      <c r="A23" s="33"/>
      <c r="B23" s="16"/>
      <c r="C23" s="16"/>
      <c r="D23" s="16"/>
      <c r="E23" s="32">
        <f t="shared" si="0"/>
        <v>0</v>
      </c>
      <c r="F23" s="27"/>
      <c r="G23" s="13"/>
      <c r="H23" s="26" t="str">
        <f t="shared" si="1"/>
        <v/>
      </c>
      <c r="I23" s="5"/>
      <c r="J23" s="5"/>
      <c r="K23" s="5"/>
    </row>
    <row r="24" spans="1:11" ht="20.399999999999999" customHeight="1" x14ac:dyDescent="0.3">
      <c r="A24" s="34"/>
      <c r="B24" s="35"/>
      <c r="C24" s="35"/>
      <c r="D24" s="35"/>
      <c r="E24" s="36">
        <f t="shared" si="0"/>
        <v>0</v>
      </c>
      <c r="F24" s="28"/>
      <c r="G24" s="29"/>
      <c r="H24" s="30" t="str">
        <f t="shared" si="1"/>
        <v/>
      </c>
      <c r="I24" s="5"/>
      <c r="J24" s="5"/>
      <c r="K24" s="5"/>
    </row>
    <row r="28" spans="1:11" x14ac:dyDescent="0.3">
      <c r="A28" t="s">
        <v>113</v>
      </c>
    </row>
    <row r="30" spans="1:11" x14ac:dyDescent="0.3">
      <c r="A30" s="52" t="s">
        <v>417</v>
      </c>
      <c r="B30" s="52"/>
      <c r="C30" s="52"/>
      <c r="D30" s="52"/>
      <c r="E30" s="52"/>
      <c r="F30" s="52"/>
      <c r="G30" s="52"/>
      <c r="H30" s="52"/>
    </row>
    <row r="31" spans="1:11" x14ac:dyDescent="0.3">
      <c r="A31" s="52" t="s">
        <v>36</v>
      </c>
      <c r="B31" s="52"/>
      <c r="C31" s="52"/>
      <c r="D31" s="52"/>
      <c r="E31" s="52"/>
      <c r="F31" s="52"/>
      <c r="G31" s="52"/>
      <c r="H31" s="52"/>
    </row>
    <row r="32" spans="1:11" x14ac:dyDescent="0.3">
      <c r="A32" s="52" t="s">
        <v>416</v>
      </c>
      <c r="B32" s="52"/>
      <c r="C32" s="52"/>
      <c r="D32" s="52"/>
      <c r="E32" s="52"/>
      <c r="F32" s="52"/>
      <c r="G32" s="52"/>
      <c r="H32" s="52"/>
    </row>
    <row r="33" spans="1:8" ht="41.4" customHeight="1" x14ac:dyDescent="0.3">
      <c r="A33" s="52" t="s">
        <v>419</v>
      </c>
      <c r="B33" s="52"/>
      <c r="C33" s="52"/>
      <c r="D33" s="52"/>
      <c r="E33" s="52"/>
      <c r="F33" s="52"/>
      <c r="G33" s="52"/>
      <c r="H33" s="52"/>
    </row>
    <row r="34" spans="1:8" x14ac:dyDescent="0.3">
      <c r="A34" s="52" t="s">
        <v>420</v>
      </c>
      <c r="B34" s="52"/>
      <c r="C34" s="52"/>
      <c r="D34" s="52"/>
      <c r="E34" s="52"/>
      <c r="F34" s="52"/>
      <c r="G34" s="52"/>
      <c r="H34" s="52"/>
    </row>
  </sheetData>
  <mergeCells count="5">
    <mergeCell ref="A30:H30"/>
    <mergeCell ref="A31:H31"/>
    <mergeCell ref="A32:H32"/>
    <mergeCell ref="A33:H33"/>
    <mergeCell ref="A34:H34"/>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ED8D4-9F23-4438-98C2-7C8216256B2B}">
  <dimension ref="A1:L165"/>
  <sheetViews>
    <sheetView workbookViewId="0">
      <selection activeCell="R6" sqref="R6"/>
    </sheetView>
  </sheetViews>
  <sheetFormatPr defaultRowHeight="14.4" x14ac:dyDescent="0.3"/>
  <cols>
    <col min="2" max="2" width="49.44140625" bestFit="1" customWidth="1"/>
    <col min="3" max="3" width="16.5546875" customWidth="1"/>
    <col min="4" max="4" width="12.5546875" customWidth="1"/>
    <col min="6" max="6" width="12" customWidth="1"/>
    <col min="7" max="7" width="12.77734375" customWidth="1"/>
    <col min="8" max="8" width="16.33203125" customWidth="1"/>
    <col min="9" max="9" width="10.33203125" style="41" customWidth="1"/>
    <col min="10" max="10" width="8.88671875" style="41"/>
    <col min="12" max="12" width="17" customWidth="1"/>
  </cols>
  <sheetData>
    <row r="1" spans="1:12" ht="17.399999999999999" x14ac:dyDescent="0.3">
      <c r="A1" s="53" t="s">
        <v>421</v>
      </c>
      <c r="B1" s="53"/>
      <c r="C1" s="53"/>
      <c r="D1" s="53"/>
      <c r="E1" s="53"/>
      <c r="F1" s="53"/>
      <c r="G1" s="53"/>
    </row>
    <row r="2" spans="1:12" ht="30.6" x14ac:dyDescent="0.3">
      <c r="A2" s="37" t="s">
        <v>115</v>
      </c>
      <c r="B2" s="37" t="s">
        <v>116</v>
      </c>
      <c r="C2" s="37" t="s">
        <v>117</v>
      </c>
      <c r="D2" s="37" t="s">
        <v>118</v>
      </c>
      <c r="E2" s="37" t="s">
        <v>119</v>
      </c>
      <c r="F2" s="37" t="s">
        <v>120</v>
      </c>
      <c r="G2" s="37" t="s">
        <v>121</v>
      </c>
      <c r="H2" s="37" t="s">
        <v>122</v>
      </c>
      <c r="I2" s="37" t="s">
        <v>422</v>
      </c>
      <c r="J2" s="37" t="s">
        <v>423</v>
      </c>
      <c r="K2" s="45" t="s">
        <v>425</v>
      </c>
      <c r="L2" s="45" t="s">
        <v>426</v>
      </c>
    </row>
    <row r="3" spans="1:12" x14ac:dyDescent="0.3">
      <c r="A3" s="38" t="s">
        <v>153</v>
      </c>
      <c r="B3" s="38" t="s">
        <v>431</v>
      </c>
      <c r="C3" s="38" t="s">
        <v>131</v>
      </c>
      <c r="D3" s="40">
        <v>600</v>
      </c>
      <c r="E3" s="38" t="s">
        <v>126</v>
      </c>
      <c r="F3" s="38" t="s">
        <v>127</v>
      </c>
      <c r="G3" s="38" t="s">
        <v>146</v>
      </c>
      <c r="H3" s="39" t="s">
        <v>151</v>
      </c>
      <c r="I3" s="42" t="s">
        <v>424</v>
      </c>
      <c r="J3" s="44"/>
      <c r="K3" t="s">
        <v>428</v>
      </c>
      <c r="L3" t="s">
        <v>430</v>
      </c>
    </row>
    <row r="4" spans="1:12" x14ac:dyDescent="0.3">
      <c r="A4" s="38" t="s">
        <v>332</v>
      </c>
      <c r="B4" s="38" t="s">
        <v>432</v>
      </c>
      <c r="C4" s="38" t="s">
        <v>131</v>
      </c>
      <c r="D4" s="40">
        <v>1330</v>
      </c>
      <c r="E4" s="38" t="s">
        <v>126</v>
      </c>
      <c r="F4" s="38" t="s">
        <v>127</v>
      </c>
      <c r="G4" s="38" t="s">
        <v>143</v>
      </c>
      <c r="H4" s="39" t="s">
        <v>151</v>
      </c>
      <c r="I4" s="42" t="s">
        <v>424</v>
      </c>
      <c r="J4" s="44"/>
      <c r="K4" t="s">
        <v>428</v>
      </c>
      <c r="L4" t="s">
        <v>430</v>
      </c>
    </row>
    <row r="5" spans="1:12" x14ac:dyDescent="0.3">
      <c r="A5" s="38" t="s">
        <v>140</v>
      </c>
      <c r="B5" s="38" t="s">
        <v>433</v>
      </c>
      <c r="C5" s="38" t="s">
        <v>131</v>
      </c>
      <c r="D5" s="40">
        <v>840</v>
      </c>
      <c r="E5" s="38" t="s">
        <v>126</v>
      </c>
      <c r="F5" s="38" t="s">
        <v>127</v>
      </c>
      <c r="G5" s="38" t="s">
        <v>132</v>
      </c>
      <c r="H5" s="39" t="s">
        <v>129</v>
      </c>
      <c r="I5" s="42" t="s">
        <v>424</v>
      </c>
      <c r="J5" s="44"/>
      <c r="K5" t="s">
        <v>428</v>
      </c>
      <c r="L5" t="s">
        <v>430</v>
      </c>
    </row>
    <row r="6" spans="1:12" x14ac:dyDescent="0.3">
      <c r="A6" s="38" t="s">
        <v>141</v>
      </c>
      <c r="B6" s="38" t="s">
        <v>434</v>
      </c>
      <c r="C6" s="38" t="s">
        <v>131</v>
      </c>
      <c r="D6" s="40">
        <v>840</v>
      </c>
      <c r="E6" s="38" t="s">
        <v>126</v>
      </c>
      <c r="F6" s="38" t="s">
        <v>127</v>
      </c>
      <c r="G6" s="38" t="s">
        <v>132</v>
      </c>
      <c r="H6" s="39" t="s">
        <v>129</v>
      </c>
      <c r="I6" s="42" t="s">
        <v>424</v>
      </c>
      <c r="J6" s="44"/>
      <c r="K6" t="s">
        <v>428</v>
      </c>
      <c r="L6" t="s">
        <v>430</v>
      </c>
    </row>
    <row r="7" spans="1:12" x14ac:dyDescent="0.3">
      <c r="A7" s="38" t="s">
        <v>142</v>
      </c>
      <c r="B7" s="38" t="s">
        <v>435</v>
      </c>
      <c r="C7" s="38" t="s">
        <v>131</v>
      </c>
      <c r="D7" s="40">
        <v>840</v>
      </c>
      <c r="E7" s="38" t="s">
        <v>126</v>
      </c>
      <c r="F7" s="38" t="s">
        <v>127</v>
      </c>
      <c r="G7" s="38" t="s">
        <v>143</v>
      </c>
      <c r="H7" s="39" t="s">
        <v>129</v>
      </c>
      <c r="I7" s="42" t="s">
        <v>424</v>
      </c>
      <c r="J7" s="44"/>
      <c r="K7" t="s">
        <v>428</v>
      </c>
      <c r="L7" t="s">
        <v>430</v>
      </c>
    </row>
    <row r="8" spans="1:12" x14ac:dyDescent="0.3">
      <c r="A8" s="38" t="s">
        <v>292</v>
      </c>
      <c r="B8" s="38" t="s">
        <v>436</v>
      </c>
      <c r="C8" s="38" t="s">
        <v>131</v>
      </c>
      <c r="D8" s="40">
        <v>2340</v>
      </c>
      <c r="E8" s="38" t="s">
        <v>126</v>
      </c>
      <c r="F8" s="38" t="s">
        <v>127</v>
      </c>
      <c r="G8" s="38" t="s">
        <v>143</v>
      </c>
      <c r="H8" s="39" t="s">
        <v>151</v>
      </c>
      <c r="I8" s="42" t="s">
        <v>424</v>
      </c>
      <c r="J8" s="44"/>
      <c r="K8" t="s">
        <v>428</v>
      </c>
      <c r="L8" t="s">
        <v>430</v>
      </c>
    </row>
    <row r="9" spans="1:12" x14ac:dyDescent="0.3">
      <c r="A9" s="38" t="s">
        <v>295</v>
      </c>
      <c r="B9" s="38" t="s">
        <v>437</v>
      </c>
      <c r="C9" s="38" t="s">
        <v>131</v>
      </c>
      <c r="D9" s="40">
        <v>2200</v>
      </c>
      <c r="E9" s="38" t="s">
        <v>126</v>
      </c>
      <c r="F9" s="38" t="s">
        <v>127</v>
      </c>
      <c r="G9" s="38" t="s">
        <v>136</v>
      </c>
      <c r="H9" s="39" t="s">
        <v>151</v>
      </c>
      <c r="I9" s="42" t="s">
        <v>424</v>
      </c>
      <c r="J9" s="44"/>
      <c r="K9" t="s">
        <v>428</v>
      </c>
      <c r="L9" t="s">
        <v>430</v>
      </c>
    </row>
    <row r="10" spans="1:12" x14ac:dyDescent="0.3">
      <c r="A10" s="38" t="s">
        <v>334</v>
      </c>
      <c r="B10" s="38" t="s">
        <v>438</v>
      </c>
      <c r="C10" s="38" t="s">
        <v>131</v>
      </c>
      <c r="D10" s="40">
        <v>1180</v>
      </c>
      <c r="E10" s="38" t="s">
        <v>126</v>
      </c>
      <c r="F10" s="38" t="s">
        <v>127</v>
      </c>
      <c r="G10" s="38" t="s">
        <v>139</v>
      </c>
      <c r="H10" s="39" t="s">
        <v>151</v>
      </c>
      <c r="I10" s="42" t="s">
        <v>424</v>
      </c>
      <c r="J10" s="44"/>
      <c r="K10" t="s">
        <v>428</v>
      </c>
      <c r="L10" t="s">
        <v>430</v>
      </c>
    </row>
    <row r="11" spans="1:12" x14ac:dyDescent="0.3">
      <c r="A11" s="38" t="s">
        <v>335</v>
      </c>
      <c r="B11" s="38" t="s">
        <v>439</v>
      </c>
      <c r="C11" s="38" t="s">
        <v>131</v>
      </c>
      <c r="D11" s="40">
        <v>1150</v>
      </c>
      <c r="E11" s="38" t="s">
        <v>126</v>
      </c>
      <c r="F11" s="38" t="s">
        <v>127</v>
      </c>
      <c r="G11" s="38" t="s">
        <v>214</v>
      </c>
      <c r="H11" s="39" t="s">
        <v>151</v>
      </c>
      <c r="I11" s="42" t="s">
        <v>424</v>
      </c>
      <c r="J11" s="44"/>
      <c r="K11" t="s">
        <v>428</v>
      </c>
      <c r="L11" t="s">
        <v>430</v>
      </c>
    </row>
    <row r="12" spans="1:12" x14ac:dyDescent="0.3">
      <c r="A12" s="38" t="s">
        <v>336</v>
      </c>
      <c r="B12" s="38" t="s">
        <v>440</v>
      </c>
      <c r="C12" s="38" t="s">
        <v>131</v>
      </c>
      <c r="D12" s="40">
        <v>1100</v>
      </c>
      <c r="E12" s="38" t="s">
        <v>126</v>
      </c>
      <c r="F12" s="38" t="s">
        <v>127</v>
      </c>
      <c r="G12" s="38" t="s">
        <v>146</v>
      </c>
      <c r="H12" s="39" t="s">
        <v>151</v>
      </c>
      <c r="I12" s="42" t="s">
        <v>424</v>
      </c>
      <c r="J12" s="44"/>
      <c r="K12" t="s">
        <v>428</v>
      </c>
      <c r="L12" t="s">
        <v>430</v>
      </c>
    </row>
    <row r="13" spans="1:12" x14ac:dyDescent="0.3">
      <c r="A13" s="38" t="s">
        <v>241</v>
      </c>
      <c r="B13" s="38" t="s">
        <v>441</v>
      </c>
      <c r="C13" s="38" t="s">
        <v>131</v>
      </c>
      <c r="D13" s="40">
        <v>3460</v>
      </c>
      <c r="E13" s="38" t="s">
        <v>126</v>
      </c>
      <c r="F13" s="38" t="s">
        <v>127</v>
      </c>
      <c r="G13" s="38" t="s">
        <v>143</v>
      </c>
      <c r="H13" s="39" t="s">
        <v>129</v>
      </c>
      <c r="I13" s="42" t="s">
        <v>424</v>
      </c>
      <c r="J13" s="44"/>
      <c r="K13" t="s">
        <v>428</v>
      </c>
      <c r="L13" t="s">
        <v>430</v>
      </c>
    </row>
    <row r="14" spans="1:12" x14ac:dyDescent="0.3">
      <c r="A14" s="38" t="s">
        <v>293</v>
      </c>
      <c r="B14" s="38" t="s">
        <v>442</v>
      </c>
      <c r="C14" s="38" t="s">
        <v>131</v>
      </c>
      <c r="D14" s="40">
        <v>2200</v>
      </c>
      <c r="E14" s="38" t="s">
        <v>126</v>
      </c>
      <c r="F14" s="38" t="s">
        <v>127</v>
      </c>
      <c r="G14" s="38" t="s">
        <v>132</v>
      </c>
      <c r="H14" s="39" t="s">
        <v>151</v>
      </c>
      <c r="I14" s="42" t="s">
        <v>424</v>
      </c>
      <c r="J14" s="44"/>
      <c r="K14" t="s">
        <v>428</v>
      </c>
      <c r="L14" t="s">
        <v>430</v>
      </c>
    </row>
    <row r="15" spans="1:12" x14ac:dyDescent="0.3">
      <c r="A15" s="38" t="s">
        <v>294</v>
      </c>
      <c r="B15" s="38" t="s">
        <v>443</v>
      </c>
      <c r="C15" s="38" t="s">
        <v>131</v>
      </c>
      <c r="D15" s="40">
        <v>2200</v>
      </c>
      <c r="E15" s="38" t="s">
        <v>126</v>
      </c>
      <c r="F15" s="38" t="s">
        <v>127</v>
      </c>
      <c r="G15" s="38" t="s">
        <v>136</v>
      </c>
      <c r="H15" s="39" t="s">
        <v>151</v>
      </c>
      <c r="I15" s="42" t="s">
        <v>424</v>
      </c>
      <c r="J15" s="44"/>
      <c r="K15" t="s">
        <v>428</v>
      </c>
      <c r="L15" t="s">
        <v>430</v>
      </c>
    </row>
    <row r="16" spans="1:12" x14ac:dyDescent="0.3">
      <c r="A16" s="38" t="s">
        <v>300</v>
      </c>
      <c r="B16" s="38" t="s">
        <v>444</v>
      </c>
      <c r="C16" s="38" t="s">
        <v>131</v>
      </c>
      <c r="D16" s="40">
        <v>2090</v>
      </c>
      <c r="E16" s="38" t="s">
        <v>126</v>
      </c>
      <c r="F16" s="38" t="s">
        <v>127</v>
      </c>
      <c r="G16" s="38" t="s">
        <v>139</v>
      </c>
      <c r="H16" s="39" t="s">
        <v>151</v>
      </c>
      <c r="I16" s="42" t="s">
        <v>424</v>
      </c>
      <c r="J16" s="44"/>
      <c r="K16" t="s">
        <v>428</v>
      </c>
      <c r="L16" t="s">
        <v>430</v>
      </c>
    </row>
    <row r="17" spans="1:12" x14ac:dyDescent="0.3">
      <c r="A17" s="38" t="s">
        <v>301</v>
      </c>
      <c r="B17" s="38" t="s">
        <v>445</v>
      </c>
      <c r="C17" s="38" t="s">
        <v>131</v>
      </c>
      <c r="D17" s="40">
        <v>2000</v>
      </c>
      <c r="E17" s="38" t="s">
        <v>126</v>
      </c>
      <c r="F17" s="38" t="s">
        <v>127</v>
      </c>
      <c r="G17" s="38" t="s">
        <v>139</v>
      </c>
      <c r="H17" s="39" t="s">
        <v>151</v>
      </c>
      <c r="I17" s="42" t="s">
        <v>424</v>
      </c>
      <c r="J17" s="44"/>
      <c r="K17" t="s">
        <v>428</v>
      </c>
      <c r="L17" t="s">
        <v>430</v>
      </c>
    </row>
    <row r="18" spans="1:12" x14ac:dyDescent="0.3">
      <c r="A18" s="38" t="s">
        <v>313</v>
      </c>
      <c r="B18" s="38" t="s">
        <v>446</v>
      </c>
      <c r="C18" s="38" t="s">
        <v>131</v>
      </c>
      <c r="D18" s="40">
        <v>1820</v>
      </c>
      <c r="E18" s="38" t="s">
        <v>126</v>
      </c>
      <c r="F18" s="38" t="s">
        <v>127</v>
      </c>
      <c r="G18" s="38" t="s">
        <v>214</v>
      </c>
      <c r="H18" s="39" t="s">
        <v>151</v>
      </c>
      <c r="I18" s="42" t="s">
        <v>424</v>
      </c>
      <c r="J18" s="44"/>
      <c r="K18" t="s">
        <v>428</v>
      </c>
      <c r="L18" t="s">
        <v>430</v>
      </c>
    </row>
    <row r="19" spans="1:12" x14ac:dyDescent="0.3">
      <c r="A19" s="38" t="s">
        <v>333</v>
      </c>
      <c r="B19" s="38" t="s">
        <v>447</v>
      </c>
      <c r="C19" s="38" t="s">
        <v>131</v>
      </c>
      <c r="D19" s="40">
        <v>1200</v>
      </c>
      <c r="E19" s="38" t="s">
        <v>126</v>
      </c>
      <c r="F19" s="38" t="s">
        <v>127</v>
      </c>
      <c r="G19" s="38" t="s">
        <v>143</v>
      </c>
      <c r="H19" s="39" t="s">
        <v>151</v>
      </c>
      <c r="I19" s="42" t="s">
        <v>424</v>
      </c>
      <c r="J19" s="44"/>
      <c r="K19" t="s">
        <v>428</v>
      </c>
      <c r="L19" t="s">
        <v>430</v>
      </c>
    </row>
    <row r="20" spans="1:12" x14ac:dyDescent="0.3">
      <c r="A20" s="38" t="s">
        <v>337</v>
      </c>
      <c r="B20" s="38" t="s">
        <v>448</v>
      </c>
      <c r="C20" s="38" t="s">
        <v>131</v>
      </c>
      <c r="D20" s="40">
        <v>1080</v>
      </c>
      <c r="E20" s="38" t="s">
        <v>126</v>
      </c>
      <c r="F20" s="38" t="s">
        <v>127</v>
      </c>
      <c r="G20" s="38" t="s">
        <v>132</v>
      </c>
      <c r="H20" s="39" t="s">
        <v>151</v>
      </c>
      <c r="I20" s="42" t="s">
        <v>424</v>
      </c>
      <c r="J20" s="44"/>
      <c r="K20" t="s">
        <v>428</v>
      </c>
      <c r="L20" t="s">
        <v>430</v>
      </c>
    </row>
    <row r="21" spans="1:12" x14ac:dyDescent="0.3">
      <c r="A21" s="38" t="s">
        <v>250</v>
      </c>
      <c r="B21" s="38" t="s">
        <v>449</v>
      </c>
      <c r="C21" s="38" t="s">
        <v>131</v>
      </c>
      <c r="D21" s="40">
        <v>3190</v>
      </c>
      <c r="E21" s="38" t="s">
        <v>126</v>
      </c>
      <c r="F21" s="38" t="s">
        <v>127</v>
      </c>
      <c r="G21" s="38" t="s">
        <v>143</v>
      </c>
      <c r="H21" s="39" t="s">
        <v>151</v>
      </c>
      <c r="I21" s="42" t="s">
        <v>424</v>
      </c>
      <c r="J21" s="44"/>
      <c r="K21" t="s">
        <v>427</v>
      </c>
      <c r="L21" t="s">
        <v>430</v>
      </c>
    </row>
    <row r="22" spans="1:12" x14ac:dyDescent="0.3">
      <c r="A22" s="38" t="s">
        <v>252</v>
      </c>
      <c r="B22" s="38" t="s">
        <v>450</v>
      </c>
      <c r="C22" s="38" t="s">
        <v>131</v>
      </c>
      <c r="D22" s="40">
        <v>3000</v>
      </c>
      <c r="E22" s="38" t="s">
        <v>126</v>
      </c>
      <c r="F22" s="38" t="s">
        <v>127</v>
      </c>
      <c r="G22" s="38" t="s">
        <v>146</v>
      </c>
      <c r="H22" s="39" t="s">
        <v>151</v>
      </c>
      <c r="I22" s="42" t="s">
        <v>424</v>
      </c>
      <c r="J22" s="44"/>
      <c r="K22" t="s">
        <v>428</v>
      </c>
      <c r="L22" t="s">
        <v>430</v>
      </c>
    </row>
    <row r="23" spans="1:12" x14ac:dyDescent="0.3">
      <c r="A23" s="38" t="s">
        <v>255</v>
      </c>
      <c r="B23" s="38" t="s">
        <v>451</v>
      </c>
      <c r="C23" s="38" t="s">
        <v>131</v>
      </c>
      <c r="D23" s="40">
        <v>2870</v>
      </c>
      <c r="E23" s="38" t="s">
        <v>126</v>
      </c>
      <c r="F23" s="38" t="s">
        <v>127</v>
      </c>
      <c r="G23" s="38" t="s">
        <v>139</v>
      </c>
      <c r="H23" s="39" t="s">
        <v>151</v>
      </c>
      <c r="I23" s="42" t="s">
        <v>424</v>
      </c>
      <c r="J23" s="44"/>
      <c r="K23" t="s">
        <v>428</v>
      </c>
      <c r="L23" t="s">
        <v>430</v>
      </c>
    </row>
    <row r="24" spans="1:12" x14ac:dyDescent="0.3">
      <c r="A24" s="38" t="s">
        <v>256</v>
      </c>
      <c r="B24" s="38" t="s">
        <v>452</v>
      </c>
      <c r="C24" s="38" t="s">
        <v>131</v>
      </c>
      <c r="D24" s="40">
        <v>2800</v>
      </c>
      <c r="E24" s="38" t="s">
        <v>126</v>
      </c>
      <c r="F24" s="38" t="s">
        <v>127</v>
      </c>
      <c r="G24" s="38" t="s">
        <v>136</v>
      </c>
      <c r="H24" s="39" t="s">
        <v>151</v>
      </c>
      <c r="I24" s="42" t="s">
        <v>424</v>
      </c>
      <c r="J24" s="44"/>
      <c r="K24" t="s">
        <v>428</v>
      </c>
      <c r="L24" t="s">
        <v>430</v>
      </c>
    </row>
    <row r="25" spans="1:12" x14ac:dyDescent="0.3">
      <c r="A25" s="38" t="s">
        <v>281</v>
      </c>
      <c r="B25" s="38" t="s">
        <v>453</v>
      </c>
      <c r="C25" s="38" t="s">
        <v>131</v>
      </c>
      <c r="D25" s="40">
        <v>2670</v>
      </c>
      <c r="E25" s="38" t="s">
        <v>126</v>
      </c>
      <c r="F25" s="38" t="s">
        <v>127</v>
      </c>
      <c r="G25" s="38" t="s">
        <v>214</v>
      </c>
      <c r="H25" s="39" t="s">
        <v>151</v>
      </c>
      <c r="I25" s="42" t="s">
        <v>424</v>
      </c>
      <c r="J25" s="44"/>
      <c r="K25" t="s">
        <v>428</v>
      </c>
      <c r="L25" t="s">
        <v>430</v>
      </c>
    </row>
    <row r="26" spans="1:12" x14ac:dyDescent="0.3">
      <c r="A26" s="38" t="s">
        <v>282</v>
      </c>
      <c r="B26" s="38" t="s">
        <v>454</v>
      </c>
      <c r="C26" s="38" t="s">
        <v>131</v>
      </c>
      <c r="D26" s="40">
        <v>2500</v>
      </c>
      <c r="E26" s="38" t="s">
        <v>126</v>
      </c>
      <c r="F26" s="38" t="s">
        <v>127</v>
      </c>
      <c r="G26" s="38" t="s">
        <v>139</v>
      </c>
      <c r="H26" s="39" t="s">
        <v>151</v>
      </c>
      <c r="I26" s="42" t="s">
        <v>424</v>
      </c>
      <c r="J26" s="44"/>
      <c r="K26" t="s">
        <v>428</v>
      </c>
      <c r="L26" t="s">
        <v>430</v>
      </c>
    </row>
    <row r="27" spans="1:12" x14ac:dyDescent="0.3">
      <c r="A27" s="38" t="s">
        <v>314</v>
      </c>
      <c r="B27" s="38" t="s">
        <v>455</v>
      </c>
      <c r="C27" s="38" t="s">
        <v>131</v>
      </c>
      <c r="D27" s="40">
        <v>1800</v>
      </c>
      <c r="E27" s="38" t="s">
        <v>126</v>
      </c>
      <c r="F27" s="38" t="s">
        <v>127</v>
      </c>
      <c r="G27" s="38" t="s">
        <v>143</v>
      </c>
      <c r="H27" s="39" t="s">
        <v>151</v>
      </c>
      <c r="I27" s="42" t="s">
        <v>424</v>
      </c>
      <c r="J27" s="44"/>
      <c r="K27" t="s">
        <v>428</v>
      </c>
      <c r="L27" t="s">
        <v>430</v>
      </c>
    </row>
    <row r="28" spans="1:12" x14ac:dyDescent="0.3">
      <c r="A28" s="38" t="s">
        <v>323</v>
      </c>
      <c r="B28" s="38" t="s">
        <v>456</v>
      </c>
      <c r="C28" s="38" t="s">
        <v>131</v>
      </c>
      <c r="D28" s="40">
        <v>9900</v>
      </c>
      <c r="E28" s="38" t="s">
        <v>126</v>
      </c>
      <c r="F28" s="38" t="s">
        <v>312</v>
      </c>
      <c r="G28" s="38" t="s">
        <v>128</v>
      </c>
      <c r="H28" s="39" t="s">
        <v>151</v>
      </c>
      <c r="I28" s="42" t="s">
        <v>424</v>
      </c>
      <c r="J28" s="44"/>
      <c r="K28" t="s">
        <v>428</v>
      </c>
      <c r="L28" t="s">
        <v>430</v>
      </c>
    </row>
    <row r="29" spans="1:12" x14ac:dyDescent="0.3">
      <c r="A29" s="38" t="s">
        <v>162</v>
      </c>
      <c r="B29" s="38" t="s">
        <v>457</v>
      </c>
      <c r="C29" s="38" t="s">
        <v>131</v>
      </c>
      <c r="D29" s="40">
        <v>4500</v>
      </c>
      <c r="E29" s="38" t="s">
        <v>126</v>
      </c>
      <c r="F29" s="38" t="s">
        <v>127</v>
      </c>
      <c r="G29" s="38" t="s">
        <v>132</v>
      </c>
      <c r="H29" s="39" t="s">
        <v>129</v>
      </c>
      <c r="I29" s="42" t="s">
        <v>424</v>
      </c>
      <c r="J29" s="44"/>
      <c r="K29" t="s">
        <v>427</v>
      </c>
      <c r="L29" t="s">
        <v>430</v>
      </c>
    </row>
    <row r="30" spans="1:12" x14ac:dyDescent="0.3">
      <c r="A30" s="38" t="s">
        <v>163</v>
      </c>
      <c r="B30" s="38" t="s">
        <v>458</v>
      </c>
      <c r="C30" s="38" t="s">
        <v>131</v>
      </c>
      <c r="D30" s="40">
        <v>4500</v>
      </c>
      <c r="E30" s="38" t="s">
        <v>126</v>
      </c>
      <c r="F30" s="38" t="s">
        <v>127</v>
      </c>
      <c r="G30" s="38" t="s">
        <v>132</v>
      </c>
      <c r="H30" s="39" t="s">
        <v>129</v>
      </c>
      <c r="I30" s="42" t="s">
        <v>424</v>
      </c>
      <c r="J30" s="44"/>
      <c r="K30" t="s">
        <v>428</v>
      </c>
      <c r="L30" t="s">
        <v>430</v>
      </c>
    </row>
    <row r="31" spans="1:12" x14ac:dyDescent="0.3">
      <c r="A31" s="38" t="s">
        <v>166</v>
      </c>
      <c r="B31" s="38" t="s">
        <v>459</v>
      </c>
      <c r="C31" s="38" t="s">
        <v>131</v>
      </c>
      <c r="D31" s="40">
        <v>4500</v>
      </c>
      <c r="E31" s="38" t="s">
        <v>126</v>
      </c>
      <c r="F31" s="38" t="s">
        <v>127</v>
      </c>
      <c r="G31" s="38" t="s">
        <v>136</v>
      </c>
      <c r="H31" s="39" t="s">
        <v>129</v>
      </c>
      <c r="I31" s="42" t="s">
        <v>424</v>
      </c>
      <c r="J31" s="44"/>
      <c r="K31" t="s">
        <v>428</v>
      </c>
      <c r="L31" t="s">
        <v>430</v>
      </c>
    </row>
    <row r="32" spans="1:12" x14ac:dyDescent="0.3">
      <c r="A32" s="38" t="s">
        <v>189</v>
      </c>
      <c r="B32" s="38" t="s">
        <v>460</v>
      </c>
      <c r="C32" s="38" t="s">
        <v>131</v>
      </c>
      <c r="D32" s="40">
        <v>4430</v>
      </c>
      <c r="E32" s="38" t="s">
        <v>126</v>
      </c>
      <c r="F32" s="38" t="s">
        <v>127</v>
      </c>
      <c r="G32" s="38" t="s">
        <v>139</v>
      </c>
      <c r="H32" s="39" t="s">
        <v>151</v>
      </c>
      <c r="I32" s="42" t="s">
        <v>424</v>
      </c>
      <c r="J32" s="44"/>
      <c r="K32" t="s">
        <v>428</v>
      </c>
      <c r="L32" t="s">
        <v>430</v>
      </c>
    </row>
    <row r="33" spans="1:12" x14ac:dyDescent="0.3">
      <c r="A33" s="38" t="s">
        <v>212</v>
      </c>
      <c r="B33" s="38" t="s">
        <v>461</v>
      </c>
      <c r="C33" s="38" t="s">
        <v>131</v>
      </c>
      <c r="D33" s="40">
        <v>4000</v>
      </c>
      <c r="E33" s="38" t="s">
        <v>126</v>
      </c>
      <c r="F33" s="38" t="s">
        <v>127</v>
      </c>
      <c r="G33" s="38" t="s">
        <v>139</v>
      </c>
      <c r="H33" s="39" t="s">
        <v>129</v>
      </c>
      <c r="I33" s="42" t="s">
        <v>424</v>
      </c>
      <c r="J33" s="44"/>
      <c r="K33" t="s">
        <v>428</v>
      </c>
      <c r="L33" t="s">
        <v>430</v>
      </c>
    </row>
    <row r="34" spans="1:12" x14ac:dyDescent="0.3">
      <c r="A34" s="38" t="s">
        <v>213</v>
      </c>
      <c r="B34" s="38" t="s">
        <v>462</v>
      </c>
      <c r="C34" s="38" t="s">
        <v>131</v>
      </c>
      <c r="D34" s="40">
        <v>3780</v>
      </c>
      <c r="E34" s="38" t="s">
        <v>126</v>
      </c>
      <c r="F34" s="38" t="s">
        <v>127</v>
      </c>
      <c r="G34" s="38" t="s">
        <v>214</v>
      </c>
      <c r="H34" s="39" t="s">
        <v>129</v>
      </c>
      <c r="I34" s="42" t="s">
        <v>424</v>
      </c>
      <c r="J34" s="44"/>
      <c r="K34" t="s">
        <v>428</v>
      </c>
      <c r="L34" t="s">
        <v>430</v>
      </c>
    </row>
    <row r="35" spans="1:12" x14ac:dyDescent="0.3">
      <c r="A35" s="38" t="s">
        <v>251</v>
      </c>
      <c r="B35" s="38" t="s">
        <v>463</v>
      </c>
      <c r="C35" s="38" t="s">
        <v>131</v>
      </c>
      <c r="D35" s="40">
        <v>3080</v>
      </c>
      <c r="E35" s="38" t="s">
        <v>126</v>
      </c>
      <c r="F35" s="38" t="s">
        <v>127</v>
      </c>
      <c r="G35" s="38" t="s">
        <v>143</v>
      </c>
      <c r="H35" s="39" t="s">
        <v>151</v>
      </c>
      <c r="I35" s="42" t="s">
        <v>424</v>
      </c>
      <c r="J35" s="44"/>
      <c r="K35" t="s">
        <v>428</v>
      </c>
      <c r="L35" t="s">
        <v>430</v>
      </c>
    </row>
    <row r="36" spans="1:12" x14ac:dyDescent="0.3">
      <c r="A36" s="38" t="s">
        <v>253</v>
      </c>
      <c r="B36" s="38" t="s">
        <v>464</v>
      </c>
      <c r="C36" s="38" t="s">
        <v>131</v>
      </c>
      <c r="D36" s="40">
        <v>3000</v>
      </c>
      <c r="E36" s="38" t="s">
        <v>126</v>
      </c>
      <c r="F36" s="38" t="s">
        <v>127</v>
      </c>
      <c r="G36" s="38" t="s">
        <v>143</v>
      </c>
      <c r="H36" s="39" t="s">
        <v>151</v>
      </c>
      <c r="I36" s="42" t="s">
        <v>424</v>
      </c>
      <c r="J36" s="44"/>
      <c r="K36" t="s">
        <v>428</v>
      </c>
      <c r="L36" t="s">
        <v>430</v>
      </c>
    </row>
    <row r="37" spans="1:12" x14ac:dyDescent="0.3">
      <c r="A37" s="38" t="s">
        <v>254</v>
      </c>
      <c r="B37" s="38" t="s">
        <v>465</v>
      </c>
      <c r="C37" s="38" t="s">
        <v>131</v>
      </c>
      <c r="D37" s="40">
        <v>2880</v>
      </c>
      <c r="E37" s="38" t="s">
        <v>126</v>
      </c>
      <c r="F37" s="38" t="s">
        <v>127</v>
      </c>
      <c r="G37" s="38" t="s">
        <v>132</v>
      </c>
      <c r="H37" s="39" t="s">
        <v>151</v>
      </c>
      <c r="I37" s="42" t="s">
        <v>424</v>
      </c>
      <c r="J37" s="44"/>
      <c r="K37" t="s">
        <v>428</v>
      </c>
      <c r="L37" t="s">
        <v>430</v>
      </c>
    </row>
    <row r="38" spans="1:12" x14ac:dyDescent="0.3">
      <c r="A38" s="38" t="s">
        <v>311</v>
      </c>
      <c r="B38" s="38" t="s">
        <v>466</v>
      </c>
      <c r="C38" s="38" t="s">
        <v>131</v>
      </c>
      <c r="D38" s="40">
        <v>11100</v>
      </c>
      <c r="E38" s="38" t="s">
        <v>126</v>
      </c>
      <c r="F38" s="38" t="s">
        <v>312</v>
      </c>
      <c r="G38" s="38" t="s">
        <v>128</v>
      </c>
      <c r="H38" s="39" t="s">
        <v>151</v>
      </c>
      <c r="I38" s="42" t="s">
        <v>424</v>
      </c>
      <c r="J38" s="44"/>
      <c r="K38" t="s">
        <v>428</v>
      </c>
      <c r="L38" t="s">
        <v>430</v>
      </c>
    </row>
    <row r="39" spans="1:12" x14ac:dyDescent="0.3">
      <c r="A39" s="38" t="s">
        <v>138</v>
      </c>
      <c r="B39" s="38" t="s">
        <v>467</v>
      </c>
      <c r="C39" s="38" t="s">
        <v>131</v>
      </c>
      <c r="D39" s="40">
        <v>8480</v>
      </c>
      <c r="E39" s="38" t="s">
        <v>126</v>
      </c>
      <c r="F39" s="38" t="s">
        <v>127</v>
      </c>
      <c r="G39" s="38" t="s">
        <v>139</v>
      </c>
      <c r="H39" s="39" t="s">
        <v>129</v>
      </c>
      <c r="I39" s="42" t="s">
        <v>424</v>
      </c>
      <c r="J39" s="44"/>
      <c r="K39" t="s">
        <v>428</v>
      </c>
      <c r="L39" t="s">
        <v>430</v>
      </c>
    </row>
    <row r="40" spans="1:12" x14ac:dyDescent="0.3">
      <c r="A40" s="38" t="s">
        <v>152</v>
      </c>
      <c r="B40" s="38" t="s">
        <v>468</v>
      </c>
      <c r="C40" s="38" t="s">
        <v>131</v>
      </c>
      <c r="D40" s="40">
        <v>6560</v>
      </c>
      <c r="E40" s="38" t="s">
        <v>126</v>
      </c>
      <c r="F40" s="38" t="s">
        <v>127</v>
      </c>
      <c r="G40" s="38" t="s">
        <v>139</v>
      </c>
      <c r="H40" s="39" t="s">
        <v>151</v>
      </c>
      <c r="I40" s="42" t="s">
        <v>424</v>
      </c>
      <c r="J40" s="44"/>
      <c r="K40" t="s">
        <v>428</v>
      </c>
      <c r="L40" t="s">
        <v>430</v>
      </c>
    </row>
    <row r="41" spans="1:12" x14ac:dyDescent="0.3">
      <c r="A41" s="38" t="s">
        <v>154</v>
      </c>
      <c r="B41" s="38" t="s">
        <v>469</v>
      </c>
      <c r="C41" s="38" t="s">
        <v>131</v>
      </c>
      <c r="D41" s="40">
        <v>5800</v>
      </c>
      <c r="E41" s="38" t="s">
        <v>126</v>
      </c>
      <c r="F41" s="38" t="s">
        <v>127</v>
      </c>
      <c r="G41" s="38" t="s">
        <v>132</v>
      </c>
      <c r="H41" s="39" t="s">
        <v>151</v>
      </c>
      <c r="I41" s="42" t="s">
        <v>424</v>
      </c>
      <c r="J41" s="44"/>
      <c r="K41" t="s">
        <v>427</v>
      </c>
      <c r="L41" t="s">
        <v>430</v>
      </c>
    </row>
    <row r="42" spans="1:12" x14ac:dyDescent="0.3">
      <c r="A42" s="38" t="s">
        <v>155</v>
      </c>
      <c r="B42" s="38" t="s">
        <v>470</v>
      </c>
      <c r="C42" s="38" t="s">
        <v>131</v>
      </c>
      <c r="D42" s="40">
        <v>5800</v>
      </c>
      <c r="E42" s="38" t="s">
        <v>126</v>
      </c>
      <c r="F42" s="38" t="s">
        <v>127</v>
      </c>
      <c r="G42" s="38" t="s">
        <v>132</v>
      </c>
      <c r="H42" s="39" t="s">
        <v>151</v>
      </c>
      <c r="I42" s="42" t="s">
        <v>424</v>
      </c>
      <c r="J42" s="44"/>
      <c r="K42" t="s">
        <v>428</v>
      </c>
      <c r="L42" t="s">
        <v>430</v>
      </c>
    </row>
    <row r="43" spans="1:12" x14ac:dyDescent="0.3">
      <c r="A43" s="38" t="s">
        <v>156</v>
      </c>
      <c r="B43" s="38" t="s">
        <v>471</v>
      </c>
      <c r="C43" s="38" t="s">
        <v>131</v>
      </c>
      <c r="D43" s="40">
        <v>5800</v>
      </c>
      <c r="E43" s="38" t="s">
        <v>126</v>
      </c>
      <c r="F43" s="38" t="s">
        <v>127</v>
      </c>
      <c r="G43" s="38" t="s">
        <v>136</v>
      </c>
      <c r="H43" s="39" t="s">
        <v>151</v>
      </c>
      <c r="I43" s="42" t="s">
        <v>424</v>
      </c>
      <c r="J43" s="44"/>
      <c r="K43" t="s">
        <v>428</v>
      </c>
      <c r="L43" t="s">
        <v>430</v>
      </c>
    </row>
    <row r="44" spans="1:12" x14ac:dyDescent="0.3">
      <c r="A44" s="38" t="s">
        <v>157</v>
      </c>
      <c r="B44" s="38" t="s">
        <v>472</v>
      </c>
      <c r="C44" s="38" t="s">
        <v>131</v>
      </c>
      <c r="D44" s="40">
        <v>5700</v>
      </c>
      <c r="E44" s="38" t="s">
        <v>126</v>
      </c>
      <c r="F44" s="38" t="s">
        <v>127</v>
      </c>
      <c r="G44" s="38" t="s">
        <v>132</v>
      </c>
      <c r="H44" s="39" t="s">
        <v>151</v>
      </c>
      <c r="I44" s="42" t="s">
        <v>424</v>
      </c>
      <c r="J44" s="44"/>
      <c r="K44" t="s">
        <v>428</v>
      </c>
      <c r="L44" t="s">
        <v>430</v>
      </c>
    </row>
    <row r="45" spans="1:12" x14ac:dyDescent="0.3">
      <c r="A45" s="38" t="s">
        <v>130</v>
      </c>
      <c r="B45" s="38" t="s">
        <v>473</v>
      </c>
      <c r="C45" s="38" t="s">
        <v>131</v>
      </c>
      <c r="D45" s="40">
        <v>8700</v>
      </c>
      <c r="E45" s="38" t="s">
        <v>126</v>
      </c>
      <c r="F45" s="38" t="s">
        <v>127</v>
      </c>
      <c r="G45" s="38" t="s">
        <v>132</v>
      </c>
      <c r="H45" s="39" t="s">
        <v>129</v>
      </c>
      <c r="I45" s="42" t="s">
        <v>424</v>
      </c>
      <c r="J45" s="44"/>
      <c r="K45" t="s">
        <v>427</v>
      </c>
      <c r="L45" t="s">
        <v>430</v>
      </c>
    </row>
    <row r="46" spans="1:12" x14ac:dyDescent="0.3">
      <c r="A46" s="38" t="s">
        <v>133</v>
      </c>
      <c r="B46" s="38" t="s">
        <v>474</v>
      </c>
      <c r="C46" s="38" t="s">
        <v>131</v>
      </c>
      <c r="D46" s="40">
        <v>8700</v>
      </c>
      <c r="E46" s="38" t="s">
        <v>126</v>
      </c>
      <c r="F46" s="38" t="s">
        <v>127</v>
      </c>
      <c r="G46" s="38" t="s">
        <v>132</v>
      </c>
      <c r="H46" s="39" t="s">
        <v>129</v>
      </c>
      <c r="I46" s="42" t="s">
        <v>424</v>
      </c>
      <c r="J46" s="44"/>
      <c r="K46" t="s">
        <v>428</v>
      </c>
      <c r="L46" t="s">
        <v>430</v>
      </c>
    </row>
    <row r="47" spans="1:12" x14ac:dyDescent="0.3">
      <c r="A47" s="38" t="s">
        <v>134</v>
      </c>
      <c r="B47" s="38" t="s">
        <v>475</v>
      </c>
      <c r="C47" s="38" t="s">
        <v>131</v>
      </c>
      <c r="D47" s="40">
        <v>8500</v>
      </c>
      <c r="E47" s="38" t="s">
        <v>126</v>
      </c>
      <c r="F47" s="38" t="s">
        <v>127</v>
      </c>
      <c r="G47" s="38" t="s">
        <v>132</v>
      </c>
      <c r="H47" s="39" t="s">
        <v>129</v>
      </c>
      <c r="I47" s="42" t="s">
        <v>424</v>
      </c>
      <c r="J47" s="44"/>
      <c r="K47" t="s">
        <v>428</v>
      </c>
      <c r="L47" t="s">
        <v>430</v>
      </c>
    </row>
    <row r="48" spans="1:12" x14ac:dyDescent="0.3">
      <c r="A48" s="38" t="s">
        <v>135</v>
      </c>
      <c r="B48" s="38" t="s">
        <v>476</v>
      </c>
      <c r="C48" s="38" t="s">
        <v>131</v>
      </c>
      <c r="D48" s="40">
        <v>8500</v>
      </c>
      <c r="E48" s="38" t="s">
        <v>126</v>
      </c>
      <c r="F48" s="38" t="s">
        <v>127</v>
      </c>
      <c r="G48" s="38" t="s">
        <v>136</v>
      </c>
      <c r="H48" s="39" t="s">
        <v>129</v>
      </c>
      <c r="I48" s="42" t="s">
        <v>424</v>
      </c>
      <c r="J48" s="44"/>
      <c r="K48" t="s">
        <v>428</v>
      </c>
      <c r="L48" t="s">
        <v>430</v>
      </c>
    </row>
    <row r="49" spans="1:12" x14ac:dyDescent="0.3">
      <c r="A49" s="38" t="s">
        <v>137</v>
      </c>
      <c r="B49" s="38" t="s">
        <v>477</v>
      </c>
      <c r="C49" s="38" t="s">
        <v>131</v>
      </c>
      <c r="D49" s="40">
        <v>8500</v>
      </c>
      <c r="E49" s="38" t="s">
        <v>126</v>
      </c>
      <c r="F49" s="38" t="s">
        <v>127</v>
      </c>
      <c r="G49" s="38" t="s">
        <v>128</v>
      </c>
      <c r="H49" s="39" t="s">
        <v>129</v>
      </c>
      <c r="I49" s="42" t="s">
        <v>424</v>
      </c>
      <c r="J49" s="44"/>
      <c r="K49" t="s">
        <v>428</v>
      </c>
      <c r="L49" t="s">
        <v>430</v>
      </c>
    </row>
    <row r="50" spans="1:12" x14ac:dyDescent="0.3">
      <c r="A50" s="38" t="s">
        <v>144</v>
      </c>
      <c r="B50" s="38" t="s">
        <v>478</v>
      </c>
      <c r="C50" s="38" t="s">
        <v>131</v>
      </c>
      <c r="D50" s="40">
        <v>8340</v>
      </c>
      <c r="E50" s="38" t="s">
        <v>126</v>
      </c>
      <c r="F50" s="38" t="s">
        <v>127</v>
      </c>
      <c r="G50" s="38" t="s">
        <v>139</v>
      </c>
      <c r="H50" s="39" t="s">
        <v>129</v>
      </c>
      <c r="I50" s="42" t="s">
        <v>424</v>
      </c>
      <c r="J50" s="44"/>
      <c r="K50" t="s">
        <v>428</v>
      </c>
      <c r="L50" t="s">
        <v>430</v>
      </c>
    </row>
    <row r="51" spans="1:12" x14ac:dyDescent="0.3">
      <c r="A51" s="38" t="s">
        <v>145</v>
      </c>
      <c r="B51" s="38" t="s">
        <v>479</v>
      </c>
      <c r="C51" s="38" t="s">
        <v>131</v>
      </c>
      <c r="D51" s="40">
        <v>8000</v>
      </c>
      <c r="E51" s="38" t="s">
        <v>126</v>
      </c>
      <c r="F51" s="38" t="s">
        <v>127</v>
      </c>
      <c r="G51" s="38" t="s">
        <v>146</v>
      </c>
      <c r="H51" s="39" t="s">
        <v>129</v>
      </c>
      <c r="I51" s="42" t="s">
        <v>424</v>
      </c>
      <c r="J51" s="44"/>
      <c r="K51" t="s">
        <v>428</v>
      </c>
      <c r="L51" t="s">
        <v>430</v>
      </c>
    </row>
    <row r="52" spans="1:12" x14ac:dyDescent="0.3">
      <c r="A52" s="38" t="s">
        <v>302</v>
      </c>
      <c r="B52" s="38" t="s">
        <v>480</v>
      </c>
      <c r="C52" s="38" t="s">
        <v>131</v>
      </c>
      <c r="D52" s="40">
        <v>20000</v>
      </c>
      <c r="E52" s="38" t="s">
        <v>126</v>
      </c>
      <c r="F52" s="38" t="s">
        <v>127</v>
      </c>
      <c r="G52" s="38" t="s">
        <v>139</v>
      </c>
      <c r="H52" s="39" t="s">
        <v>151</v>
      </c>
      <c r="I52" s="42" t="s">
        <v>424</v>
      </c>
      <c r="J52" s="44"/>
      <c r="K52" t="s">
        <v>428</v>
      </c>
      <c r="L52" t="s">
        <v>430</v>
      </c>
    </row>
    <row r="53" spans="1:12" x14ac:dyDescent="0.3">
      <c r="A53" s="38" t="s">
        <v>291</v>
      </c>
      <c r="B53" s="38" t="s">
        <v>481</v>
      </c>
      <c r="C53" s="38" t="s">
        <v>131</v>
      </c>
      <c r="D53" s="40">
        <v>24000</v>
      </c>
      <c r="E53" s="38" t="s">
        <v>126</v>
      </c>
      <c r="F53" s="38" t="s">
        <v>127</v>
      </c>
      <c r="G53" s="38" t="s">
        <v>139</v>
      </c>
      <c r="H53" s="39" t="s">
        <v>151</v>
      </c>
      <c r="I53" s="42" t="s">
        <v>424</v>
      </c>
      <c r="J53" s="44"/>
      <c r="K53" t="s">
        <v>428</v>
      </c>
      <c r="L53" t="s">
        <v>430</v>
      </c>
    </row>
    <row r="54" spans="1:12" x14ac:dyDescent="0.3">
      <c r="A54" s="38" t="s">
        <v>147</v>
      </c>
      <c r="B54" s="38" t="s">
        <v>148</v>
      </c>
      <c r="C54" s="38" t="s">
        <v>125</v>
      </c>
      <c r="D54" s="40">
        <v>8000</v>
      </c>
      <c r="E54" s="38" t="s">
        <v>126</v>
      </c>
      <c r="F54" s="38" t="s">
        <v>127</v>
      </c>
      <c r="G54" s="38" t="s">
        <v>136</v>
      </c>
      <c r="H54" s="39" t="s">
        <v>129</v>
      </c>
      <c r="I54" s="43" t="s">
        <v>424</v>
      </c>
      <c r="J54" s="43"/>
      <c r="K54" t="s">
        <v>427</v>
      </c>
      <c r="L54" t="s">
        <v>429</v>
      </c>
    </row>
    <row r="55" spans="1:12" x14ac:dyDescent="0.3">
      <c r="A55" s="38" t="s">
        <v>149</v>
      </c>
      <c r="B55" s="38" t="s">
        <v>150</v>
      </c>
      <c r="C55" s="38" t="s">
        <v>125</v>
      </c>
      <c r="D55" s="40">
        <v>8000</v>
      </c>
      <c r="E55" s="38" t="s">
        <v>126</v>
      </c>
      <c r="F55" s="38" t="s">
        <v>127</v>
      </c>
      <c r="G55" s="38" t="s">
        <v>136</v>
      </c>
      <c r="H55" s="39" t="s">
        <v>151</v>
      </c>
      <c r="I55" s="43" t="s">
        <v>424</v>
      </c>
      <c r="J55" s="43"/>
      <c r="K55" t="s">
        <v>428</v>
      </c>
      <c r="L55" t="s">
        <v>429</v>
      </c>
    </row>
    <row r="56" spans="1:12" x14ac:dyDescent="0.3">
      <c r="A56" s="38" t="s">
        <v>123</v>
      </c>
      <c r="B56" s="38" t="s">
        <v>124</v>
      </c>
      <c r="C56" s="38" t="s">
        <v>125</v>
      </c>
      <c r="D56" s="40">
        <v>9000</v>
      </c>
      <c r="E56" s="38" t="s">
        <v>126</v>
      </c>
      <c r="F56" s="38" t="s">
        <v>127</v>
      </c>
      <c r="G56" s="38" t="s">
        <v>128</v>
      </c>
      <c r="H56" s="39" t="s">
        <v>129</v>
      </c>
      <c r="I56" s="43" t="s">
        <v>424</v>
      </c>
      <c r="J56" s="43"/>
      <c r="K56" t="s">
        <v>428</v>
      </c>
      <c r="L56" t="s">
        <v>429</v>
      </c>
    </row>
    <row r="57" spans="1:12" x14ac:dyDescent="0.3">
      <c r="A57" s="38" t="s">
        <v>338</v>
      </c>
      <c r="B57" s="38" t="s">
        <v>339</v>
      </c>
      <c r="C57" s="38" t="s">
        <v>125</v>
      </c>
      <c r="D57" s="40">
        <v>10000</v>
      </c>
      <c r="E57" s="38" t="s">
        <v>126</v>
      </c>
      <c r="F57" s="38" t="s">
        <v>127</v>
      </c>
      <c r="G57" s="38" t="s">
        <v>136</v>
      </c>
      <c r="H57" s="39" t="s">
        <v>151</v>
      </c>
      <c r="I57" s="43" t="s">
        <v>424</v>
      </c>
      <c r="J57" s="43"/>
      <c r="K57" t="s">
        <v>427</v>
      </c>
      <c r="L57" t="s">
        <v>429</v>
      </c>
    </row>
    <row r="58" spans="1:12" x14ac:dyDescent="0.3">
      <c r="A58" s="38" t="s">
        <v>340</v>
      </c>
      <c r="B58" s="38" t="s">
        <v>341</v>
      </c>
      <c r="C58" s="38" t="s">
        <v>125</v>
      </c>
      <c r="D58" s="40">
        <v>10000</v>
      </c>
      <c r="E58" s="38" t="s">
        <v>126</v>
      </c>
      <c r="F58" s="38" t="s">
        <v>127</v>
      </c>
      <c r="G58" s="38" t="s">
        <v>136</v>
      </c>
      <c r="H58" s="39" t="s">
        <v>151</v>
      </c>
      <c r="I58" s="43" t="s">
        <v>424</v>
      </c>
      <c r="J58" s="43"/>
      <c r="K58" t="s">
        <v>428</v>
      </c>
      <c r="L58" t="s">
        <v>429</v>
      </c>
    </row>
    <row r="59" spans="1:12" x14ac:dyDescent="0.3">
      <c r="A59" s="38" t="s">
        <v>342</v>
      </c>
      <c r="B59" s="38" t="s">
        <v>343</v>
      </c>
      <c r="C59" s="38" t="s">
        <v>125</v>
      </c>
      <c r="D59" s="40">
        <v>10000</v>
      </c>
      <c r="E59" s="38" t="s">
        <v>126</v>
      </c>
      <c r="F59" s="38" t="s">
        <v>127</v>
      </c>
      <c r="G59" s="38" t="s">
        <v>128</v>
      </c>
      <c r="H59" s="39" t="s">
        <v>344</v>
      </c>
      <c r="I59" s="43" t="s">
        <v>424</v>
      </c>
      <c r="J59" s="43"/>
      <c r="K59" t="s">
        <v>428</v>
      </c>
      <c r="L59" t="s">
        <v>429</v>
      </c>
    </row>
    <row r="60" spans="1:12" x14ac:dyDescent="0.3">
      <c r="A60" s="38" t="s">
        <v>328</v>
      </c>
      <c r="B60" s="38" t="s">
        <v>329</v>
      </c>
      <c r="C60" s="38" t="s">
        <v>125</v>
      </c>
      <c r="D60" s="40">
        <v>15000</v>
      </c>
      <c r="E60" s="38" t="s">
        <v>126</v>
      </c>
      <c r="F60" s="38" t="s">
        <v>127</v>
      </c>
      <c r="G60" s="38" t="s">
        <v>136</v>
      </c>
      <c r="H60" s="39" t="s">
        <v>151</v>
      </c>
      <c r="I60" s="43" t="s">
        <v>424</v>
      </c>
      <c r="J60" s="43"/>
      <c r="K60" t="s">
        <v>427</v>
      </c>
      <c r="L60" t="s">
        <v>429</v>
      </c>
    </row>
    <row r="61" spans="1:12" x14ac:dyDescent="0.3">
      <c r="A61" s="38" t="s">
        <v>330</v>
      </c>
      <c r="B61" s="38" t="s">
        <v>331</v>
      </c>
      <c r="C61" s="38" t="s">
        <v>125</v>
      </c>
      <c r="D61" s="40">
        <v>15000</v>
      </c>
      <c r="E61" s="38" t="s">
        <v>126</v>
      </c>
      <c r="F61" s="38" t="s">
        <v>127</v>
      </c>
      <c r="G61" s="38" t="s">
        <v>136</v>
      </c>
      <c r="H61" s="39" t="s">
        <v>151</v>
      </c>
      <c r="I61" s="43" t="s">
        <v>424</v>
      </c>
      <c r="J61" s="43"/>
      <c r="K61" t="s">
        <v>428</v>
      </c>
      <c r="L61" t="s">
        <v>429</v>
      </c>
    </row>
    <row r="62" spans="1:12" x14ac:dyDescent="0.3">
      <c r="A62" s="38" t="s">
        <v>324</v>
      </c>
      <c r="B62" s="38" t="s">
        <v>325</v>
      </c>
      <c r="C62" s="38" t="s">
        <v>125</v>
      </c>
      <c r="D62" s="40">
        <v>16000</v>
      </c>
      <c r="E62" s="38" t="s">
        <v>126</v>
      </c>
      <c r="F62" s="38" t="s">
        <v>127</v>
      </c>
      <c r="G62" s="38" t="s">
        <v>128</v>
      </c>
      <c r="H62" s="39" t="s">
        <v>151</v>
      </c>
      <c r="I62" s="43" t="s">
        <v>424</v>
      </c>
      <c r="J62" s="43"/>
      <c r="K62" t="s">
        <v>427</v>
      </c>
      <c r="L62" t="s">
        <v>429</v>
      </c>
    </row>
    <row r="63" spans="1:12" x14ac:dyDescent="0.3">
      <c r="A63" s="38" t="s">
        <v>326</v>
      </c>
      <c r="B63" s="38" t="s">
        <v>327</v>
      </c>
      <c r="C63" s="38" t="s">
        <v>125</v>
      </c>
      <c r="D63" s="40">
        <v>16000</v>
      </c>
      <c r="E63" s="38" t="s">
        <v>126</v>
      </c>
      <c r="F63" s="38" t="s">
        <v>127</v>
      </c>
      <c r="G63" s="38" t="s">
        <v>128</v>
      </c>
      <c r="H63" s="39" t="s">
        <v>151</v>
      </c>
      <c r="I63" s="43" t="s">
        <v>424</v>
      </c>
      <c r="J63" s="43"/>
      <c r="K63" t="s">
        <v>428</v>
      </c>
      <c r="L63" t="s">
        <v>429</v>
      </c>
    </row>
    <row r="64" spans="1:12" x14ac:dyDescent="0.3">
      <c r="A64" s="38" t="s">
        <v>319</v>
      </c>
      <c r="B64" s="38" t="s">
        <v>320</v>
      </c>
      <c r="C64" s="38" t="s">
        <v>125</v>
      </c>
      <c r="D64" s="40">
        <v>17000</v>
      </c>
      <c r="E64" s="38" t="s">
        <v>126</v>
      </c>
      <c r="F64" s="38" t="s">
        <v>127</v>
      </c>
      <c r="G64" s="38" t="s">
        <v>128</v>
      </c>
      <c r="H64" s="39" t="s">
        <v>151</v>
      </c>
      <c r="I64" s="43" t="s">
        <v>424</v>
      </c>
      <c r="J64" s="43"/>
      <c r="K64" t="s">
        <v>427</v>
      </c>
      <c r="L64" t="s">
        <v>429</v>
      </c>
    </row>
    <row r="65" spans="1:12" x14ac:dyDescent="0.3">
      <c r="A65" s="38" t="s">
        <v>321</v>
      </c>
      <c r="B65" s="38" t="s">
        <v>322</v>
      </c>
      <c r="C65" s="38" t="s">
        <v>125</v>
      </c>
      <c r="D65" s="40">
        <v>17000</v>
      </c>
      <c r="E65" s="38" t="s">
        <v>126</v>
      </c>
      <c r="F65" s="38" t="s">
        <v>127</v>
      </c>
      <c r="G65" s="38" t="s">
        <v>128</v>
      </c>
      <c r="H65" s="39" t="s">
        <v>151</v>
      </c>
      <c r="I65" s="43" t="s">
        <v>424</v>
      </c>
      <c r="J65" s="43"/>
      <c r="K65" t="s">
        <v>428</v>
      </c>
      <c r="L65" t="s">
        <v>429</v>
      </c>
    </row>
    <row r="66" spans="1:12" x14ac:dyDescent="0.3">
      <c r="A66" s="38" t="s">
        <v>315</v>
      </c>
      <c r="B66" s="38" t="s">
        <v>316</v>
      </c>
      <c r="C66" s="38" t="s">
        <v>125</v>
      </c>
      <c r="D66" s="40">
        <v>18000</v>
      </c>
      <c r="E66" s="38" t="s">
        <v>126</v>
      </c>
      <c r="F66" s="38" t="s">
        <v>127</v>
      </c>
      <c r="G66" s="38" t="s">
        <v>128</v>
      </c>
      <c r="H66" s="39" t="s">
        <v>151</v>
      </c>
      <c r="I66" s="43" t="s">
        <v>424</v>
      </c>
      <c r="J66" s="43"/>
      <c r="K66" t="s">
        <v>427</v>
      </c>
      <c r="L66" t="s">
        <v>429</v>
      </c>
    </row>
    <row r="67" spans="1:12" x14ac:dyDescent="0.3">
      <c r="A67" s="38" t="s">
        <v>317</v>
      </c>
      <c r="B67" s="38" t="s">
        <v>318</v>
      </c>
      <c r="C67" s="38" t="s">
        <v>125</v>
      </c>
      <c r="D67" s="40">
        <v>18000</v>
      </c>
      <c r="E67" s="38" t="s">
        <v>126</v>
      </c>
      <c r="F67" s="38" t="s">
        <v>127</v>
      </c>
      <c r="G67" s="38" t="s">
        <v>128</v>
      </c>
      <c r="H67" s="39" t="s">
        <v>151</v>
      </c>
      <c r="I67" s="43" t="s">
        <v>424</v>
      </c>
      <c r="J67" s="43"/>
      <c r="K67" t="s">
        <v>428</v>
      </c>
      <c r="L67" t="s">
        <v>429</v>
      </c>
    </row>
    <row r="68" spans="1:12" x14ac:dyDescent="0.3">
      <c r="A68" s="38" t="s">
        <v>307</v>
      </c>
      <c r="B68" s="38" t="s">
        <v>308</v>
      </c>
      <c r="C68" s="38" t="s">
        <v>125</v>
      </c>
      <c r="D68" s="40">
        <v>19000</v>
      </c>
      <c r="E68" s="38" t="s">
        <v>126</v>
      </c>
      <c r="F68" s="38" t="s">
        <v>127</v>
      </c>
      <c r="G68" s="38" t="s">
        <v>136</v>
      </c>
      <c r="H68" s="39" t="s">
        <v>151</v>
      </c>
      <c r="I68" s="43" t="s">
        <v>424</v>
      </c>
      <c r="J68" s="43"/>
      <c r="K68" t="s">
        <v>427</v>
      </c>
      <c r="L68" t="s">
        <v>429</v>
      </c>
    </row>
    <row r="69" spans="1:12" x14ac:dyDescent="0.3">
      <c r="A69" s="38" t="s">
        <v>309</v>
      </c>
      <c r="B69" s="38" t="s">
        <v>310</v>
      </c>
      <c r="C69" s="38" t="s">
        <v>125</v>
      </c>
      <c r="D69" s="40">
        <v>19000</v>
      </c>
      <c r="E69" s="38" t="s">
        <v>126</v>
      </c>
      <c r="F69" s="38" t="s">
        <v>127</v>
      </c>
      <c r="G69" s="38" t="s">
        <v>136</v>
      </c>
      <c r="H69" s="39" t="s">
        <v>151</v>
      </c>
      <c r="I69" s="43" t="s">
        <v>424</v>
      </c>
      <c r="J69" s="43"/>
      <c r="K69" t="s">
        <v>428</v>
      </c>
      <c r="L69" t="s">
        <v>429</v>
      </c>
    </row>
    <row r="70" spans="1:12" x14ac:dyDescent="0.3">
      <c r="A70" s="38" t="s">
        <v>303</v>
      </c>
      <c r="B70" s="38" t="s">
        <v>304</v>
      </c>
      <c r="C70" s="38" t="s">
        <v>125</v>
      </c>
      <c r="D70" s="40">
        <v>20000</v>
      </c>
      <c r="E70" s="38" t="s">
        <v>126</v>
      </c>
      <c r="F70" s="38" t="s">
        <v>127</v>
      </c>
      <c r="G70" s="38" t="s">
        <v>128</v>
      </c>
      <c r="H70" s="39" t="s">
        <v>151</v>
      </c>
      <c r="I70" s="43" t="s">
        <v>424</v>
      </c>
      <c r="J70" s="43"/>
      <c r="K70" t="s">
        <v>427</v>
      </c>
      <c r="L70" t="s">
        <v>429</v>
      </c>
    </row>
    <row r="71" spans="1:12" x14ac:dyDescent="0.3">
      <c r="A71" s="38" t="s">
        <v>305</v>
      </c>
      <c r="B71" s="38" t="s">
        <v>306</v>
      </c>
      <c r="C71" s="38" t="s">
        <v>125</v>
      </c>
      <c r="D71" s="40">
        <v>20000</v>
      </c>
      <c r="E71" s="38" t="s">
        <v>126</v>
      </c>
      <c r="F71" s="38" t="s">
        <v>127</v>
      </c>
      <c r="G71" s="38" t="s">
        <v>128</v>
      </c>
      <c r="H71" s="39" t="s">
        <v>151</v>
      </c>
      <c r="I71" s="43" t="s">
        <v>424</v>
      </c>
      <c r="J71" s="43"/>
      <c r="K71" t="s">
        <v>428</v>
      </c>
      <c r="L71" t="s">
        <v>429</v>
      </c>
    </row>
    <row r="72" spans="1:12" x14ac:dyDescent="0.3">
      <c r="A72" s="38" t="s">
        <v>296</v>
      </c>
      <c r="B72" s="38" t="s">
        <v>297</v>
      </c>
      <c r="C72" s="38" t="s">
        <v>125</v>
      </c>
      <c r="D72" s="40">
        <v>22000</v>
      </c>
      <c r="E72" s="38" t="s">
        <v>126</v>
      </c>
      <c r="F72" s="38" t="s">
        <v>127</v>
      </c>
      <c r="G72" s="38" t="s">
        <v>136</v>
      </c>
      <c r="H72" s="39" t="s">
        <v>151</v>
      </c>
      <c r="I72" s="43" t="s">
        <v>424</v>
      </c>
      <c r="J72" s="43"/>
      <c r="K72" t="s">
        <v>427</v>
      </c>
      <c r="L72" t="s">
        <v>429</v>
      </c>
    </row>
    <row r="73" spans="1:12" x14ac:dyDescent="0.3">
      <c r="A73" s="38" t="s">
        <v>298</v>
      </c>
      <c r="B73" s="38" t="s">
        <v>299</v>
      </c>
      <c r="C73" s="38" t="s">
        <v>125</v>
      </c>
      <c r="D73" s="40">
        <v>22000</v>
      </c>
      <c r="E73" s="38" t="s">
        <v>126</v>
      </c>
      <c r="F73" s="38" t="s">
        <v>127</v>
      </c>
      <c r="G73" s="38" t="s">
        <v>136</v>
      </c>
      <c r="H73" s="39" t="s">
        <v>151</v>
      </c>
      <c r="I73" s="43" t="s">
        <v>424</v>
      </c>
      <c r="J73" s="43"/>
      <c r="K73" t="s">
        <v>428</v>
      </c>
      <c r="L73" t="s">
        <v>429</v>
      </c>
    </row>
    <row r="74" spans="1:12" x14ac:dyDescent="0.3">
      <c r="A74" s="38" t="s">
        <v>283</v>
      </c>
      <c r="B74" s="38" t="s">
        <v>284</v>
      </c>
      <c r="C74" s="38" t="s">
        <v>125</v>
      </c>
      <c r="D74" s="40">
        <v>25000</v>
      </c>
      <c r="E74" s="38" t="s">
        <v>126</v>
      </c>
      <c r="F74" s="38" t="s">
        <v>127</v>
      </c>
      <c r="G74" s="38" t="s">
        <v>128</v>
      </c>
      <c r="H74" s="39" t="s">
        <v>151</v>
      </c>
      <c r="I74" s="43" t="s">
        <v>424</v>
      </c>
      <c r="J74" s="43"/>
      <c r="K74" t="s">
        <v>427</v>
      </c>
      <c r="L74" t="s">
        <v>429</v>
      </c>
    </row>
    <row r="75" spans="1:12" x14ac:dyDescent="0.3">
      <c r="A75" s="38" t="s">
        <v>285</v>
      </c>
      <c r="B75" s="38" t="s">
        <v>286</v>
      </c>
      <c r="C75" s="38" t="s">
        <v>125</v>
      </c>
      <c r="D75" s="40">
        <v>25000</v>
      </c>
      <c r="E75" s="38" t="s">
        <v>126</v>
      </c>
      <c r="F75" s="38" t="s">
        <v>127</v>
      </c>
      <c r="G75" s="38" t="s">
        <v>128</v>
      </c>
      <c r="H75" s="39" t="s">
        <v>151</v>
      </c>
      <c r="I75" s="43" t="s">
        <v>424</v>
      </c>
      <c r="J75" s="43"/>
      <c r="K75" t="s">
        <v>428</v>
      </c>
      <c r="L75" t="s">
        <v>429</v>
      </c>
    </row>
    <row r="76" spans="1:12" x14ac:dyDescent="0.3">
      <c r="A76" s="38" t="s">
        <v>287</v>
      </c>
      <c r="B76" s="38" t="s">
        <v>288</v>
      </c>
      <c r="C76" s="38" t="s">
        <v>125</v>
      </c>
      <c r="D76" s="40">
        <v>25000</v>
      </c>
      <c r="E76" s="38" t="s">
        <v>126</v>
      </c>
      <c r="F76" s="38" t="s">
        <v>127</v>
      </c>
      <c r="G76" s="38" t="s">
        <v>128</v>
      </c>
      <c r="H76" s="39" t="s">
        <v>151</v>
      </c>
      <c r="I76" s="43" t="s">
        <v>424</v>
      </c>
      <c r="J76" s="43"/>
      <c r="K76" t="s">
        <v>427</v>
      </c>
      <c r="L76" t="s">
        <v>429</v>
      </c>
    </row>
    <row r="77" spans="1:12" x14ac:dyDescent="0.3">
      <c r="A77" s="38" t="s">
        <v>289</v>
      </c>
      <c r="B77" s="38" t="s">
        <v>290</v>
      </c>
      <c r="C77" s="38" t="s">
        <v>125</v>
      </c>
      <c r="D77" s="40">
        <v>25000</v>
      </c>
      <c r="E77" s="38" t="s">
        <v>126</v>
      </c>
      <c r="F77" s="38" t="s">
        <v>127</v>
      </c>
      <c r="G77" s="38" t="s">
        <v>128</v>
      </c>
      <c r="H77" s="39" t="s">
        <v>151</v>
      </c>
      <c r="I77" s="43" t="s">
        <v>424</v>
      </c>
      <c r="J77" s="43"/>
      <c r="K77" t="s">
        <v>428</v>
      </c>
      <c r="L77" t="s">
        <v>429</v>
      </c>
    </row>
    <row r="78" spans="1:12" x14ac:dyDescent="0.3">
      <c r="A78" s="38" t="s">
        <v>257</v>
      </c>
      <c r="B78" s="38" t="s">
        <v>258</v>
      </c>
      <c r="C78" s="38" t="s">
        <v>125</v>
      </c>
      <c r="D78" s="40">
        <v>28000</v>
      </c>
      <c r="E78" s="38" t="s">
        <v>126</v>
      </c>
      <c r="F78" s="38" t="s">
        <v>127</v>
      </c>
      <c r="G78" s="38" t="s">
        <v>136</v>
      </c>
      <c r="H78" s="39" t="s">
        <v>151</v>
      </c>
      <c r="I78" s="43" t="s">
        <v>424</v>
      </c>
      <c r="J78" s="42" t="s">
        <v>424</v>
      </c>
      <c r="K78" t="s">
        <v>427</v>
      </c>
      <c r="L78" t="s">
        <v>429</v>
      </c>
    </row>
    <row r="79" spans="1:12" x14ac:dyDescent="0.3">
      <c r="A79" s="38" t="s">
        <v>259</v>
      </c>
      <c r="B79" s="38" t="s">
        <v>260</v>
      </c>
      <c r="C79" s="38" t="s">
        <v>125</v>
      </c>
      <c r="D79" s="40">
        <v>28000</v>
      </c>
      <c r="E79" s="38" t="s">
        <v>126</v>
      </c>
      <c r="F79" s="38" t="s">
        <v>127</v>
      </c>
      <c r="G79" s="38" t="s">
        <v>136</v>
      </c>
      <c r="H79" s="39" t="s">
        <v>151</v>
      </c>
      <c r="I79" s="43" t="s">
        <v>424</v>
      </c>
      <c r="J79" s="42" t="s">
        <v>424</v>
      </c>
      <c r="K79" t="s">
        <v>428</v>
      </c>
      <c r="L79" t="s">
        <v>429</v>
      </c>
    </row>
    <row r="80" spans="1:12" x14ac:dyDescent="0.3">
      <c r="A80" s="38" t="s">
        <v>261</v>
      </c>
      <c r="B80" s="38" t="s">
        <v>262</v>
      </c>
      <c r="C80" s="38" t="s">
        <v>125</v>
      </c>
      <c r="D80" s="40">
        <v>28000</v>
      </c>
      <c r="E80" s="38" t="s">
        <v>126</v>
      </c>
      <c r="F80" s="38" t="s">
        <v>127</v>
      </c>
      <c r="G80" s="38" t="s">
        <v>128</v>
      </c>
      <c r="H80" s="39" t="s">
        <v>151</v>
      </c>
      <c r="I80" s="43" t="s">
        <v>424</v>
      </c>
      <c r="J80" s="42" t="s">
        <v>424</v>
      </c>
      <c r="K80" t="s">
        <v>427</v>
      </c>
      <c r="L80" t="s">
        <v>429</v>
      </c>
    </row>
    <row r="81" spans="1:12" x14ac:dyDescent="0.3">
      <c r="A81" s="38" t="s">
        <v>263</v>
      </c>
      <c r="B81" s="38" t="s">
        <v>264</v>
      </c>
      <c r="C81" s="38" t="s">
        <v>125</v>
      </c>
      <c r="D81" s="40">
        <v>28000</v>
      </c>
      <c r="E81" s="38" t="s">
        <v>126</v>
      </c>
      <c r="F81" s="38" t="s">
        <v>127</v>
      </c>
      <c r="G81" s="38" t="s">
        <v>128</v>
      </c>
      <c r="H81" s="39" t="s">
        <v>151</v>
      </c>
      <c r="I81" s="43" t="s">
        <v>424</v>
      </c>
      <c r="J81" s="42" t="s">
        <v>424</v>
      </c>
      <c r="K81" t="s">
        <v>428</v>
      </c>
      <c r="L81" t="s">
        <v>429</v>
      </c>
    </row>
    <row r="82" spans="1:12" x14ac:dyDescent="0.3">
      <c r="A82" s="38" t="s">
        <v>265</v>
      </c>
      <c r="B82" s="38" t="s">
        <v>266</v>
      </c>
      <c r="C82" s="38" t="s">
        <v>125</v>
      </c>
      <c r="D82" s="40">
        <v>28000</v>
      </c>
      <c r="E82" s="38" t="s">
        <v>126</v>
      </c>
      <c r="F82" s="38" t="s">
        <v>127</v>
      </c>
      <c r="G82" s="38" t="s">
        <v>128</v>
      </c>
      <c r="H82" s="39" t="s">
        <v>151</v>
      </c>
      <c r="I82" s="43" t="s">
        <v>424</v>
      </c>
      <c r="J82" s="42" t="s">
        <v>424</v>
      </c>
      <c r="K82" t="s">
        <v>427</v>
      </c>
      <c r="L82" t="s">
        <v>429</v>
      </c>
    </row>
    <row r="83" spans="1:12" x14ac:dyDescent="0.3">
      <c r="A83" s="38" t="s">
        <v>267</v>
      </c>
      <c r="B83" s="38" t="s">
        <v>268</v>
      </c>
      <c r="C83" s="38" t="s">
        <v>125</v>
      </c>
      <c r="D83" s="40">
        <v>28000</v>
      </c>
      <c r="E83" s="38" t="s">
        <v>126</v>
      </c>
      <c r="F83" s="38" t="s">
        <v>127</v>
      </c>
      <c r="G83" s="38" t="s">
        <v>128</v>
      </c>
      <c r="H83" s="39" t="s">
        <v>151</v>
      </c>
      <c r="I83" s="43" t="s">
        <v>424</v>
      </c>
      <c r="J83" s="42" t="s">
        <v>424</v>
      </c>
      <c r="K83" t="s">
        <v>427</v>
      </c>
      <c r="L83" t="s">
        <v>429</v>
      </c>
    </row>
    <row r="84" spans="1:12" x14ac:dyDescent="0.3">
      <c r="A84" s="38" t="s">
        <v>269</v>
      </c>
      <c r="B84" s="38" t="s">
        <v>270</v>
      </c>
      <c r="C84" s="38" t="s">
        <v>125</v>
      </c>
      <c r="D84" s="40">
        <v>28000</v>
      </c>
      <c r="E84" s="38" t="s">
        <v>126</v>
      </c>
      <c r="F84" s="38" t="s">
        <v>127</v>
      </c>
      <c r="G84" s="38" t="s">
        <v>128</v>
      </c>
      <c r="H84" s="39" t="s">
        <v>151</v>
      </c>
      <c r="I84" s="43" t="s">
        <v>424</v>
      </c>
      <c r="J84" s="42" t="s">
        <v>424</v>
      </c>
      <c r="K84" t="s">
        <v>428</v>
      </c>
      <c r="L84" t="s">
        <v>429</v>
      </c>
    </row>
    <row r="85" spans="1:12" x14ac:dyDescent="0.3">
      <c r="A85" s="38" t="s">
        <v>271</v>
      </c>
      <c r="B85" s="38" t="s">
        <v>272</v>
      </c>
      <c r="C85" s="38" t="s">
        <v>125</v>
      </c>
      <c r="D85" s="40">
        <v>28000</v>
      </c>
      <c r="E85" s="38" t="s">
        <v>126</v>
      </c>
      <c r="F85" s="38" t="s">
        <v>127</v>
      </c>
      <c r="G85" s="38" t="s">
        <v>128</v>
      </c>
      <c r="H85" s="39" t="s">
        <v>151</v>
      </c>
      <c r="I85" s="43" t="s">
        <v>424</v>
      </c>
      <c r="J85" s="42" t="s">
        <v>424</v>
      </c>
      <c r="K85" t="s">
        <v>427</v>
      </c>
      <c r="L85" t="s">
        <v>429</v>
      </c>
    </row>
    <row r="86" spans="1:12" x14ac:dyDescent="0.3">
      <c r="A86" s="38" t="s">
        <v>273</v>
      </c>
      <c r="B86" s="38" t="s">
        <v>274</v>
      </c>
      <c r="C86" s="38" t="s">
        <v>125</v>
      </c>
      <c r="D86" s="40">
        <v>28000</v>
      </c>
      <c r="E86" s="38" t="s">
        <v>126</v>
      </c>
      <c r="F86" s="38" t="s">
        <v>127</v>
      </c>
      <c r="G86" s="38" t="s">
        <v>128</v>
      </c>
      <c r="H86" s="39" t="s">
        <v>151</v>
      </c>
      <c r="I86" s="43" t="s">
        <v>424</v>
      </c>
      <c r="J86" s="42" t="s">
        <v>424</v>
      </c>
      <c r="K86" t="s">
        <v>428</v>
      </c>
      <c r="L86" t="s">
        <v>429</v>
      </c>
    </row>
    <row r="87" spans="1:12" x14ac:dyDescent="0.3">
      <c r="A87" s="38" t="s">
        <v>275</v>
      </c>
      <c r="B87" s="38" t="s">
        <v>276</v>
      </c>
      <c r="C87" s="38" t="s">
        <v>125</v>
      </c>
      <c r="D87" s="40">
        <v>28000</v>
      </c>
      <c r="E87" s="38" t="s">
        <v>126</v>
      </c>
      <c r="F87" s="38" t="s">
        <v>127</v>
      </c>
      <c r="G87" s="38" t="s">
        <v>128</v>
      </c>
      <c r="H87" s="39" t="s">
        <v>151</v>
      </c>
      <c r="I87" s="43" t="s">
        <v>424</v>
      </c>
      <c r="J87" s="42" t="s">
        <v>424</v>
      </c>
      <c r="K87" t="s">
        <v>427</v>
      </c>
      <c r="L87" t="s">
        <v>429</v>
      </c>
    </row>
    <row r="88" spans="1:12" x14ac:dyDescent="0.3">
      <c r="A88" s="38" t="s">
        <v>277</v>
      </c>
      <c r="B88" s="38" t="s">
        <v>278</v>
      </c>
      <c r="C88" s="38" t="s">
        <v>125</v>
      </c>
      <c r="D88" s="40">
        <v>28000</v>
      </c>
      <c r="E88" s="38" t="s">
        <v>126</v>
      </c>
      <c r="F88" s="38" t="s">
        <v>127</v>
      </c>
      <c r="G88" s="38" t="s">
        <v>128</v>
      </c>
      <c r="H88" s="39" t="s">
        <v>151</v>
      </c>
      <c r="I88" s="43" t="s">
        <v>424</v>
      </c>
      <c r="J88" s="42" t="s">
        <v>424</v>
      </c>
      <c r="K88" t="s">
        <v>428</v>
      </c>
      <c r="L88" t="s">
        <v>429</v>
      </c>
    </row>
    <row r="89" spans="1:12" x14ac:dyDescent="0.3">
      <c r="A89" s="38" t="s">
        <v>279</v>
      </c>
      <c r="B89" s="38" t="s">
        <v>280</v>
      </c>
      <c r="C89" s="38" t="s">
        <v>125</v>
      </c>
      <c r="D89" s="40">
        <v>28000</v>
      </c>
      <c r="E89" s="38" t="s">
        <v>126</v>
      </c>
      <c r="F89" s="38" t="s">
        <v>127</v>
      </c>
      <c r="G89" s="38" t="s">
        <v>128</v>
      </c>
      <c r="H89" s="39" t="s">
        <v>151</v>
      </c>
      <c r="I89" s="43" t="s">
        <v>424</v>
      </c>
      <c r="J89" s="42" t="s">
        <v>424</v>
      </c>
      <c r="K89" t="s">
        <v>428</v>
      </c>
      <c r="L89" t="s">
        <v>429</v>
      </c>
    </row>
    <row r="90" spans="1:12" x14ac:dyDescent="0.3">
      <c r="A90" s="38" t="s">
        <v>246</v>
      </c>
      <c r="B90" s="38" t="s">
        <v>247</v>
      </c>
      <c r="C90" s="38" t="s">
        <v>125</v>
      </c>
      <c r="D90" s="40">
        <v>32000</v>
      </c>
      <c r="E90" s="38" t="s">
        <v>126</v>
      </c>
      <c r="F90" s="38" t="s">
        <v>127</v>
      </c>
      <c r="G90" s="38" t="s">
        <v>128</v>
      </c>
      <c r="H90" s="39" t="s">
        <v>151</v>
      </c>
      <c r="I90" s="43" t="s">
        <v>424</v>
      </c>
      <c r="J90" s="42" t="s">
        <v>424</v>
      </c>
      <c r="K90" t="s">
        <v>427</v>
      </c>
      <c r="L90" t="s">
        <v>429</v>
      </c>
    </row>
    <row r="91" spans="1:12" x14ac:dyDescent="0.3">
      <c r="A91" s="38" t="s">
        <v>248</v>
      </c>
      <c r="B91" s="38" t="s">
        <v>249</v>
      </c>
      <c r="C91" s="38" t="s">
        <v>125</v>
      </c>
      <c r="D91" s="40">
        <v>32000</v>
      </c>
      <c r="E91" s="38" t="s">
        <v>126</v>
      </c>
      <c r="F91" s="38" t="s">
        <v>127</v>
      </c>
      <c r="G91" s="38" t="s">
        <v>128</v>
      </c>
      <c r="H91" s="39" t="s">
        <v>151</v>
      </c>
      <c r="I91" s="43" t="s">
        <v>424</v>
      </c>
      <c r="J91" s="42" t="s">
        <v>424</v>
      </c>
      <c r="K91" t="s">
        <v>428</v>
      </c>
      <c r="L91" t="s">
        <v>429</v>
      </c>
    </row>
    <row r="92" spans="1:12" x14ac:dyDescent="0.3">
      <c r="A92" s="38" t="s">
        <v>242</v>
      </c>
      <c r="B92" s="38" t="s">
        <v>243</v>
      </c>
      <c r="C92" s="38" t="s">
        <v>125</v>
      </c>
      <c r="D92" s="40">
        <v>34000</v>
      </c>
      <c r="E92" s="38" t="s">
        <v>126</v>
      </c>
      <c r="F92" s="38" t="s">
        <v>127</v>
      </c>
      <c r="G92" s="38" t="s">
        <v>136</v>
      </c>
      <c r="H92" s="39" t="s">
        <v>129</v>
      </c>
      <c r="I92" s="43" t="s">
        <v>424</v>
      </c>
      <c r="J92" s="42" t="s">
        <v>424</v>
      </c>
      <c r="K92" t="s">
        <v>427</v>
      </c>
      <c r="L92" t="s">
        <v>429</v>
      </c>
    </row>
    <row r="93" spans="1:12" x14ac:dyDescent="0.3">
      <c r="A93" s="38" t="s">
        <v>244</v>
      </c>
      <c r="B93" s="38" t="s">
        <v>245</v>
      </c>
      <c r="C93" s="38" t="s">
        <v>125</v>
      </c>
      <c r="D93" s="40">
        <v>34000</v>
      </c>
      <c r="E93" s="38" t="s">
        <v>126</v>
      </c>
      <c r="F93" s="38" t="s">
        <v>127</v>
      </c>
      <c r="G93" s="38" t="s">
        <v>136</v>
      </c>
      <c r="H93" s="39" t="s">
        <v>151</v>
      </c>
      <c r="I93" s="43" t="s">
        <v>424</v>
      </c>
      <c r="J93" s="42" t="s">
        <v>424</v>
      </c>
      <c r="K93" t="s">
        <v>428</v>
      </c>
      <c r="L93" t="s">
        <v>429</v>
      </c>
    </row>
    <row r="94" spans="1:12" x14ac:dyDescent="0.3">
      <c r="A94" s="38" t="s">
        <v>219</v>
      </c>
      <c r="B94" s="38" t="s">
        <v>220</v>
      </c>
      <c r="C94" s="38" t="s">
        <v>125</v>
      </c>
      <c r="D94" s="40">
        <v>35000</v>
      </c>
      <c r="E94" s="38" t="s">
        <v>126</v>
      </c>
      <c r="F94" s="38" t="s">
        <v>127</v>
      </c>
      <c r="G94" s="38" t="s">
        <v>128</v>
      </c>
      <c r="H94" s="39" t="s">
        <v>129</v>
      </c>
      <c r="I94" s="43" t="s">
        <v>424</v>
      </c>
      <c r="J94" s="42" t="s">
        <v>424</v>
      </c>
      <c r="K94" t="s">
        <v>427</v>
      </c>
      <c r="L94" t="s">
        <v>429</v>
      </c>
    </row>
    <row r="95" spans="1:12" x14ac:dyDescent="0.3">
      <c r="A95" s="38" t="s">
        <v>221</v>
      </c>
      <c r="B95" s="38" t="s">
        <v>222</v>
      </c>
      <c r="C95" s="38" t="s">
        <v>125</v>
      </c>
      <c r="D95" s="40">
        <v>35000</v>
      </c>
      <c r="E95" s="38" t="s">
        <v>126</v>
      </c>
      <c r="F95" s="38" t="s">
        <v>127</v>
      </c>
      <c r="G95" s="38" t="s">
        <v>128</v>
      </c>
      <c r="H95" s="39" t="s">
        <v>129</v>
      </c>
      <c r="I95" s="43" t="s">
        <v>424</v>
      </c>
      <c r="J95" s="42" t="s">
        <v>424</v>
      </c>
      <c r="K95" t="s">
        <v>428</v>
      </c>
      <c r="L95" t="s">
        <v>429</v>
      </c>
    </row>
    <row r="96" spans="1:12" x14ac:dyDescent="0.3">
      <c r="A96" s="38" t="s">
        <v>223</v>
      </c>
      <c r="B96" s="38" t="s">
        <v>224</v>
      </c>
      <c r="C96" s="38" t="s">
        <v>125</v>
      </c>
      <c r="D96" s="40">
        <v>35000</v>
      </c>
      <c r="E96" s="38" t="s">
        <v>126</v>
      </c>
      <c r="F96" s="38" t="s">
        <v>127</v>
      </c>
      <c r="G96" s="38" t="s">
        <v>128</v>
      </c>
      <c r="H96" s="39" t="s">
        <v>129</v>
      </c>
      <c r="I96" s="43" t="s">
        <v>424</v>
      </c>
      <c r="J96" s="42" t="s">
        <v>424</v>
      </c>
      <c r="K96" t="s">
        <v>427</v>
      </c>
      <c r="L96" t="s">
        <v>429</v>
      </c>
    </row>
    <row r="97" spans="1:12" x14ac:dyDescent="0.3">
      <c r="A97" s="38" t="s">
        <v>225</v>
      </c>
      <c r="B97" s="38" t="s">
        <v>226</v>
      </c>
      <c r="C97" s="38" t="s">
        <v>125</v>
      </c>
      <c r="D97" s="40">
        <v>35000</v>
      </c>
      <c r="E97" s="38" t="s">
        <v>126</v>
      </c>
      <c r="F97" s="38" t="s">
        <v>127</v>
      </c>
      <c r="G97" s="38" t="s">
        <v>128</v>
      </c>
      <c r="H97" s="39" t="s">
        <v>129</v>
      </c>
      <c r="I97" s="43" t="s">
        <v>424</v>
      </c>
      <c r="J97" s="42" t="s">
        <v>424</v>
      </c>
      <c r="K97" t="s">
        <v>427</v>
      </c>
      <c r="L97" t="s">
        <v>429</v>
      </c>
    </row>
    <row r="98" spans="1:12" x14ac:dyDescent="0.3">
      <c r="A98" s="38" t="s">
        <v>227</v>
      </c>
      <c r="B98" s="38" t="s">
        <v>228</v>
      </c>
      <c r="C98" s="38" t="s">
        <v>125</v>
      </c>
      <c r="D98" s="40">
        <v>35000</v>
      </c>
      <c r="E98" s="38" t="s">
        <v>126</v>
      </c>
      <c r="F98" s="38" t="s">
        <v>127</v>
      </c>
      <c r="G98" s="38" t="s">
        <v>128</v>
      </c>
      <c r="H98" s="39" t="s">
        <v>129</v>
      </c>
      <c r="I98" s="43" t="s">
        <v>424</v>
      </c>
      <c r="J98" s="42" t="s">
        <v>424</v>
      </c>
      <c r="K98" t="s">
        <v>428</v>
      </c>
      <c r="L98" t="s">
        <v>429</v>
      </c>
    </row>
    <row r="99" spans="1:12" x14ac:dyDescent="0.3">
      <c r="A99" s="38" t="s">
        <v>229</v>
      </c>
      <c r="B99" s="38" t="s">
        <v>230</v>
      </c>
      <c r="C99" s="38" t="s">
        <v>125</v>
      </c>
      <c r="D99" s="40">
        <v>35000</v>
      </c>
      <c r="E99" s="38" t="s">
        <v>126</v>
      </c>
      <c r="F99" s="38" t="s">
        <v>127</v>
      </c>
      <c r="G99" s="38" t="s">
        <v>128</v>
      </c>
      <c r="H99" s="39" t="s">
        <v>129</v>
      </c>
      <c r="I99" s="43" t="s">
        <v>424</v>
      </c>
      <c r="J99" s="42" t="s">
        <v>424</v>
      </c>
      <c r="K99" t="s">
        <v>427</v>
      </c>
      <c r="L99" t="s">
        <v>429</v>
      </c>
    </row>
    <row r="100" spans="1:12" x14ac:dyDescent="0.3">
      <c r="A100" s="38" t="s">
        <v>231</v>
      </c>
      <c r="B100" s="38" t="s">
        <v>232</v>
      </c>
      <c r="C100" s="38" t="s">
        <v>125</v>
      </c>
      <c r="D100" s="40">
        <v>35000</v>
      </c>
      <c r="E100" s="38" t="s">
        <v>126</v>
      </c>
      <c r="F100" s="38" t="s">
        <v>127</v>
      </c>
      <c r="G100" s="38" t="s">
        <v>128</v>
      </c>
      <c r="H100" s="39" t="s">
        <v>129</v>
      </c>
      <c r="I100" s="43" t="s">
        <v>424</v>
      </c>
      <c r="J100" s="42" t="s">
        <v>424</v>
      </c>
      <c r="K100" t="s">
        <v>427</v>
      </c>
      <c r="L100" t="s">
        <v>429</v>
      </c>
    </row>
    <row r="101" spans="1:12" x14ac:dyDescent="0.3">
      <c r="A101" s="38" t="s">
        <v>233</v>
      </c>
      <c r="B101" s="38" t="s">
        <v>234</v>
      </c>
      <c r="C101" s="38" t="s">
        <v>125</v>
      </c>
      <c r="D101" s="40">
        <v>35000</v>
      </c>
      <c r="E101" s="38" t="s">
        <v>126</v>
      </c>
      <c r="F101" s="38" t="s">
        <v>127</v>
      </c>
      <c r="G101" s="38" t="s">
        <v>128</v>
      </c>
      <c r="H101" s="39" t="s">
        <v>129</v>
      </c>
      <c r="I101" s="43" t="s">
        <v>424</v>
      </c>
      <c r="J101" s="42" t="s">
        <v>424</v>
      </c>
      <c r="K101" t="s">
        <v>428</v>
      </c>
      <c r="L101" t="s">
        <v>429</v>
      </c>
    </row>
    <row r="102" spans="1:12" x14ac:dyDescent="0.3">
      <c r="A102" s="38" t="s">
        <v>235</v>
      </c>
      <c r="B102" s="38" t="s">
        <v>236</v>
      </c>
      <c r="C102" s="38" t="s">
        <v>125</v>
      </c>
      <c r="D102" s="40">
        <v>35000</v>
      </c>
      <c r="E102" s="38" t="s">
        <v>126</v>
      </c>
      <c r="F102" s="38" t="s">
        <v>127</v>
      </c>
      <c r="G102" s="38" t="s">
        <v>128</v>
      </c>
      <c r="H102" s="39" t="s">
        <v>129</v>
      </c>
      <c r="I102" s="43" t="s">
        <v>424</v>
      </c>
      <c r="J102" s="42" t="s">
        <v>424</v>
      </c>
      <c r="K102" t="s">
        <v>427</v>
      </c>
      <c r="L102" t="s">
        <v>429</v>
      </c>
    </row>
    <row r="103" spans="1:12" x14ac:dyDescent="0.3">
      <c r="A103" s="38" t="s">
        <v>237</v>
      </c>
      <c r="B103" s="38" t="s">
        <v>238</v>
      </c>
      <c r="C103" s="38" t="s">
        <v>125</v>
      </c>
      <c r="D103" s="40">
        <v>35000</v>
      </c>
      <c r="E103" s="38" t="s">
        <v>126</v>
      </c>
      <c r="F103" s="38" t="s">
        <v>127</v>
      </c>
      <c r="G103" s="38" t="s">
        <v>128</v>
      </c>
      <c r="H103" s="39" t="s">
        <v>129</v>
      </c>
      <c r="I103" s="43" t="s">
        <v>424</v>
      </c>
      <c r="J103" s="42" t="s">
        <v>424</v>
      </c>
      <c r="K103" t="s">
        <v>428</v>
      </c>
      <c r="L103" t="s">
        <v>429</v>
      </c>
    </row>
    <row r="104" spans="1:12" x14ac:dyDescent="0.3">
      <c r="A104" s="38" t="s">
        <v>239</v>
      </c>
      <c r="B104" s="38" t="s">
        <v>240</v>
      </c>
      <c r="C104" s="38" t="s">
        <v>125</v>
      </c>
      <c r="D104" s="40">
        <v>35000</v>
      </c>
      <c r="E104" s="38" t="s">
        <v>126</v>
      </c>
      <c r="F104" s="38" t="s">
        <v>127</v>
      </c>
      <c r="G104" s="38" t="s">
        <v>128</v>
      </c>
      <c r="H104" s="39" t="s">
        <v>129</v>
      </c>
      <c r="I104" s="43" t="s">
        <v>424</v>
      </c>
      <c r="J104" s="42" t="s">
        <v>424</v>
      </c>
      <c r="K104" t="s">
        <v>428</v>
      </c>
      <c r="L104" t="s">
        <v>429</v>
      </c>
    </row>
    <row r="105" spans="1:12" x14ac:dyDescent="0.3">
      <c r="A105" s="38" t="s">
        <v>215</v>
      </c>
      <c r="B105" s="38" t="s">
        <v>216</v>
      </c>
      <c r="C105" s="38" t="s">
        <v>125</v>
      </c>
      <c r="D105" s="40">
        <v>37000</v>
      </c>
      <c r="E105" s="38" t="s">
        <v>126</v>
      </c>
      <c r="F105" s="38" t="s">
        <v>127</v>
      </c>
      <c r="G105" s="38" t="s">
        <v>136</v>
      </c>
      <c r="H105" s="39" t="s">
        <v>129</v>
      </c>
      <c r="I105" s="43" t="s">
        <v>424</v>
      </c>
      <c r="J105" s="42" t="s">
        <v>424</v>
      </c>
      <c r="K105" t="s">
        <v>427</v>
      </c>
      <c r="L105" t="s">
        <v>429</v>
      </c>
    </row>
    <row r="106" spans="1:12" x14ac:dyDescent="0.3">
      <c r="A106" s="38" t="s">
        <v>217</v>
      </c>
      <c r="B106" s="38" t="s">
        <v>218</v>
      </c>
      <c r="C106" s="38" t="s">
        <v>125</v>
      </c>
      <c r="D106" s="40">
        <v>37000</v>
      </c>
      <c r="E106" s="38" t="s">
        <v>126</v>
      </c>
      <c r="F106" s="38" t="s">
        <v>127</v>
      </c>
      <c r="G106" s="38" t="s">
        <v>136</v>
      </c>
      <c r="H106" s="39" t="s">
        <v>129</v>
      </c>
      <c r="I106" s="43" t="s">
        <v>424</v>
      </c>
      <c r="J106" s="42" t="s">
        <v>424</v>
      </c>
      <c r="K106" t="s">
        <v>428</v>
      </c>
      <c r="L106" t="s">
        <v>429</v>
      </c>
    </row>
    <row r="107" spans="1:12" x14ac:dyDescent="0.3">
      <c r="A107" s="38" t="s">
        <v>190</v>
      </c>
      <c r="B107" s="38" t="s">
        <v>191</v>
      </c>
      <c r="C107" s="38" t="s">
        <v>125</v>
      </c>
      <c r="D107" s="40">
        <v>40000</v>
      </c>
      <c r="E107" s="38" t="s">
        <v>126</v>
      </c>
      <c r="F107" s="38" t="s">
        <v>127</v>
      </c>
      <c r="G107" s="38" t="s">
        <v>128</v>
      </c>
      <c r="H107" s="39" t="s">
        <v>129</v>
      </c>
      <c r="I107" s="43" t="s">
        <v>424</v>
      </c>
      <c r="J107" s="42" t="s">
        <v>424</v>
      </c>
      <c r="K107" t="s">
        <v>427</v>
      </c>
      <c r="L107" t="s">
        <v>429</v>
      </c>
    </row>
    <row r="108" spans="1:12" x14ac:dyDescent="0.3">
      <c r="A108" s="38" t="s">
        <v>192</v>
      </c>
      <c r="B108" s="38" t="s">
        <v>193</v>
      </c>
      <c r="C108" s="38" t="s">
        <v>125</v>
      </c>
      <c r="D108" s="40">
        <v>40000</v>
      </c>
      <c r="E108" s="38" t="s">
        <v>126</v>
      </c>
      <c r="F108" s="38" t="s">
        <v>127</v>
      </c>
      <c r="G108" s="38" t="s">
        <v>128</v>
      </c>
      <c r="H108" s="39" t="s">
        <v>129</v>
      </c>
      <c r="I108" s="43" t="s">
        <v>424</v>
      </c>
      <c r="J108" s="42" t="s">
        <v>424</v>
      </c>
      <c r="K108" t="s">
        <v>427</v>
      </c>
      <c r="L108" t="s">
        <v>429</v>
      </c>
    </row>
    <row r="109" spans="1:12" x14ac:dyDescent="0.3">
      <c r="A109" s="38" t="s">
        <v>194</v>
      </c>
      <c r="B109" s="38" t="s">
        <v>195</v>
      </c>
      <c r="C109" s="38" t="s">
        <v>125</v>
      </c>
      <c r="D109" s="40">
        <v>40000</v>
      </c>
      <c r="E109" s="38" t="s">
        <v>126</v>
      </c>
      <c r="F109" s="38" t="s">
        <v>127</v>
      </c>
      <c r="G109" s="38" t="s">
        <v>128</v>
      </c>
      <c r="H109" s="39" t="s">
        <v>129</v>
      </c>
      <c r="I109" s="43" t="s">
        <v>424</v>
      </c>
      <c r="J109" s="42" t="s">
        <v>424</v>
      </c>
      <c r="K109" t="s">
        <v>428</v>
      </c>
      <c r="L109" t="s">
        <v>429</v>
      </c>
    </row>
    <row r="110" spans="1:12" x14ac:dyDescent="0.3">
      <c r="A110" s="38" t="s">
        <v>196</v>
      </c>
      <c r="B110" s="38" t="s">
        <v>197</v>
      </c>
      <c r="C110" s="38" t="s">
        <v>125</v>
      </c>
      <c r="D110" s="40">
        <v>40000</v>
      </c>
      <c r="E110" s="38" t="s">
        <v>126</v>
      </c>
      <c r="F110" s="38" t="s">
        <v>127</v>
      </c>
      <c r="G110" s="38" t="s">
        <v>128</v>
      </c>
      <c r="H110" s="39" t="s">
        <v>129</v>
      </c>
      <c r="I110" s="43" t="s">
        <v>424</v>
      </c>
      <c r="J110" s="42" t="s">
        <v>424</v>
      </c>
      <c r="K110" t="s">
        <v>427</v>
      </c>
      <c r="L110" t="s">
        <v>429</v>
      </c>
    </row>
    <row r="111" spans="1:12" x14ac:dyDescent="0.3">
      <c r="A111" s="38" t="s">
        <v>198</v>
      </c>
      <c r="B111" s="38" t="s">
        <v>199</v>
      </c>
      <c r="C111" s="38" t="s">
        <v>125</v>
      </c>
      <c r="D111" s="40">
        <v>40000</v>
      </c>
      <c r="E111" s="38" t="s">
        <v>126</v>
      </c>
      <c r="F111" s="38" t="s">
        <v>127</v>
      </c>
      <c r="G111" s="38" t="s">
        <v>128</v>
      </c>
      <c r="H111" s="39" t="s">
        <v>129</v>
      </c>
      <c r="I111" s="43" t="s">
        <v>424</v>
      </c>
      <c r="J111" s="42" t="s">
        <v>424</v>
      </c>
      <c r="K111" t="s">
        <v>428</v>
      </c>
      <c r="L111" t="s">
        <v>429</v>
      </c>
    </row>
    <row r="112" spans="1:12" x14ac:dyDescent="0.3">
      <c r="A112" s="38" t="s">
        <v>200</v>
      </c>
      <c r="B112" s="38" t="s">
        <v>201</v>
      </c>
      <c r="C112" s="38" t="s">
        <v>125</v>
      </c>
      <c r="D112" s="40">
        <v>40000</v>
      </c>
      <c r="E112" s="38" t="s">
        <v>126</v>
      </c>
      <c r="F112" s="38" t="s">
        <v>127</v>
      </c>
      <c r="G112" s="38" t="s">
        <v>128</v>
      </c>
      <c r="H112" s="39" t="s">
        <v>129</v>
      </c>
      <c r="I112" s="43" t="s">
        <v>424</v>
      </c>
      <c r="J112" s="42" t="s">
        <v>424</v>
      </c>
      <c r="K112" t="s">
        <v>427</v>
      </c>
      <c r="L112" t="s">
        <v>429</v>
      </c>
    </row>
    <row r="113" spans="1:12" x14ac:dyDescent="0.3">
      <c r="A113" s="38" t="s">
        <v>202</v>
      </c>
      <c r="B113" s="38" t="s">
        <v>203</v>
      </c>
      <c r="C113" s="38" t="s">
        <v>125</v>
      </c>
      <c r="D113" s="40">
        <v>40000</v>
      </c>
      <c r="E113" s="38" t="s">
        <v>126</v>
      </c>
      <c r="F113" s="38" t="s">
        <v>127</v>
      </c>
      <c r="G113" s="38" t="s">
        <v>128</v>
      </c>
      <c r="H113" s="39" t="s">
        <v>129</v>
      </c>
      <c r="I113" s="43" t="s">
        <v>424</v>
      </c>
      <c r="J113" s="42" t="s">
        <v>424</v>
      </c>
      <c r="K113" t="s">
        <v>427</v>
      </c>
      <c r="L113" t="s">
        <v>429</v>
      </c>
    </row>
    <row r="114" spans="1:12" x14ac:dyDescent="0.3">
      <c r="A114" s="38" t="s">
        <v>204</v>
      </c>
      <c r="B114" s="38" t="s">
        <v>205</v>
      </c>
      <c r="C114" s="38" t="s">
        <v>125</v>
      </c>
      <c r="D114" s="40">
        <v>40000</v>
      </c>
      <c r="E114" s="38" t="s">
        <v>126</v>
      </c>
      <c r="F114" s="38" t="s">
        <v>127</v>
      </c>
      <c r="G114" s="38" t="s">
        <v>128</v>
      </c>
      <c r="H114" s="39" t="s">
        <v>129</v>
      </c>
      <c r="I114" s="43" t="s">
        <v>424</v>
      </c>
      <c r="J114" s="42" t="s">
        <v>424</v>
      </c>
      <c r="K114" t="s">
        <v>428</v>
      </c>
      <c r="L114" t="s">
        <v>429</v>
      </c>
    </row>
    <row r="115" spans="1:12" x14ac:dyDescent="0.3">
      <c r="A115" s="38" t="s">
        <v>206</v>
      </c>
      <c r="B115" s="38" t="s">
        <v>207</v>
      </c>
      <c r="C115" s="38" t="s">
        <v>125</v>
      </c>
      <c r="D115" s="40">
        <v>40000</v>
      </c>
      <c r="E115" s="38" t="s">
        <v>126</v>
      </c>
      <c r="F115" s="38" t="s">
        <v>127</v>
      </c>
      <c r="G115" s="38" t="s">
        <v>128</v>
      </c>
      <c r="H115" s="39" t="s">
        <v>129</v>
      </c>
      <c r="I115" s="43" t="s">
        <v>424</v>
      </c>
      <c r="J115" s="42" t="s">
        <v>424</v>
      </c>
      <c r="K115" t="s">
        <v>427</v>
      </c>
      <c r="L115" t="s">
        <v>429</v>
      </c>
    </row>
    <row r="116" spans="1:12" x14ac:dyDescent="0.3">
      <c r="A116" s="38" t="s">
        <v>208</v>
      </c>
      <c r="B116" s="38" t="s">
        <v>209</v>
      </c>
      <c r="C116" s="38" t="s">
        <v>125</v>
      </c>
      <c r="D116" s="40">
        <v>40000</v>
      </c>
      <c r="E116" s="38" t="s">
        <v>126</v>
      </c>
      <c r="F116" s="38" t="s">
        <v>127</v>
      </c>
      <c r="G116" s="38" t="s">
        <v>128</v>
      </c>
      <c r="H116" s="39" t="s">
        <v>129</v>
      </c>
      <c r="I116" s="43" t="s">
        <v>424</v>
      </c>
      <c r="J116" s="42" t="s">
        <v>424</v>
      </c>
      <c r="K116" t="s">
        <v>428</v>
      </c>
      <c r="L116" t="s">
        <v>429</v>
      </c>
    </row>
    <row r="117" spans="1:12" x14ac:dyDescent="0.3">
      <c r="A117" s="38" t="s">
        <v>210</v>
      </c>
      <c r="B117" s="38" t="s">
        <v>211</v>
      </c>
      <c r="C117" s="38" t="s">
        <v>125</v>
      </c>
      <c r="D117" s="40">
        <v>40000</v>
      </c>
      <c r="E117" s="38" t="s">
        <v>126</v>
      </c>
      <c r="F117" s="38" t="s">
        <v>127</v>
      </c>
      <c r="G117" s="38" t="s">
        <v>128</v>
      </c>
      <c r="H117" s="39" t="s">
        <v>129</v>
      </c>
      <c r="I117" s="43" t="s">
        <v>424</v>
      </c>
      <c r="J117" s="42" t="s">
        <v>424</v>
      </c>
      <c r="K117" t="s">
        <v>428</v>
      </c>
      <c r="L117" t="s">
        <v>429</v>
      </c>
    </row>
    <row r="118" spans="1:12" x14ac:dyDescent="0.3">
      <c r="A118" s="38" t="s">
        <v>164</v>
      </c>
      <c r="B118" s="38" t="s">
        <v>165</v>
      </c>
      <c r="C118" s="38" t="s">
        <v>125</v>
      </c>
      <c r="D118" s="40">
        <v>45000</v>
      </c>
      <c r="E118" s="38" t="s">
        <v>126</v>
      </c>
      <c r="F118" s="38" t="s">
        <v>127</v>
      </c>
      <c r="G118" s="38" t="s">
        <v>136</v>
      </c>
      <c r="H118" s="39" t="s">
        <v>129</v>
      </c>
      <c r="I118" s="43" t="s">
        <v>424</v>
      </c>
      <c r="J118" s="42" t="s">
        <v>424</v>
      </c>
      <c r="K118" t="s">
        <v>427</v>
      </c>
      <c r="L118" t="s">
        <v>429</v>
      </c>
    </row>
    <row r="119" spans="1:12" x14ac:dyDescent="0.3">
      <c r="A119" s="38" t="s">
        <v>167</v>
      </c>
      <c r="B119" s="38" t="s">
        <v>168</v>
      </c>
      <c r="C119" s="38" t="s">
        <v>125</v>
      </c>
      <c r="D119" s="40">
        <v>45000</v>
      </c>
      <c r="E119" s="38" t="s">
        <v>126</v>
      </c>
      <c r="F119" s="38" t="s">
        <v>127</v>
      </c>
      <c r="G119" s="38" t="s">
        <v>128</v>
      </c>
      <c r="H119" s="39" t="s">
        <v>129</v>
      </c>
      <c r="I119" s="43" t="s">
        <v>424</v>
      </c>
      <c r="J119" s="42" t="s">
        <v>424</v>
      </c>
      <c r="K119" t="s">
        <v>427</v>
      </c>
      <c r="L119" t="s">
        <v>429</v>
      </c>
    </row>
    <row r="120" spans="1:12" x14ac:dyDescent="0.3">
      <c r="A120" s="38" t="s">
        <v>169</v>
      </c>
      <c r="B120" s="38" t="s">
        <v>170</v>
      </c>
      <c r="C120" s="38" t="s">
        <v>125</v>
      </c>
      <c r="D120" s="40">
        <v>45000</v>
      </c>
      <c r="E120" s="38" t="s">
        <v>126</v>
      </c>
      <c r="F120" s="38" t="s">
        <v>127</v>
      </c>
      <c r="G120" s="38" t="s">
        <v>128</v>
      </c>
      <c r="H120" s="39" t="s">
        <v>129</v>
      </c>
      <c r="I120" s="43" t="s">
        <v>424</v>
      </c>
      <c r="J120" s="42" t="s">
        <v>424</v>
      </c>
      <c r="K120" t="s">
        <v>428</v>
      </c>
      <c r="L120" t="s">
        <v>429</v>
      </c>
    </row>
    <row r="121" spans="1:12" x14ac:dyDescent="0.3">
      <c r="A121" s="38" t="s">
        <v>171</v>
      </c>
      <c r="B121" s="38" t="s">
        <v>172</v>
      </c>
      <c r="C121" s="38" t="s">
        <v>125</v>
      </c>
      <c r="D121" s="40">
        <v>45000</v>
      </c>
      <c r="E121" s="38" t="s">
        <v>126</v>
      </c>
      <c r="F121" s="38" t="s">
        <v>127</v>
      </c>
      <c r="G121" s="38" t="s">
        <v>128</v>
      </c>
      <c r="H121" s="39" t="s">
        <v>129</v>
      </c>
      <c r="I121" s="43" t="s">
        <v>424</v>
      </c>
      <c r="J121" s="42" t="s">
        <v>424</v>
      </c>
      <c r="K121" t="s">
        <v>427</v>
      </c>
      <c r="L121" t="s">
        <v>429</v>
      </c>
    </row>
    <row r="122" spans="1:12" x14ac:dyDescent="0.3">
      <c r="A122" s="38" t="s">
        <v>173</v>
      </c>
      <c r="B122" s="38" t="s">
        <v>174</v>
      </c>
      <c r="C122" s="38" t="s">
        <v>125</v>
      </c>
      <c r="D122" s="40">
        <v>45000</v>
      </c>
      <c r="E122" s="38" t="s">
        <v>126</v>
      </c>
      <c r="F122" s="38" t="s">
        <v>127</v>
      </c>
      <c r="G122" s="38" t="s">
        <v>128</v>
      </c>
      <c r="H122" s="39" t="s">
        <v>129</v>
      </c>
      <c r="I122" s="43" t="s">
        <v>424</v>
      </c>
      <c r="J122" s="42" t="s">
        <v>424</v>
      </c>
      <c r="K122" t="s">
        <v>427</v>
      </c>
      <c r="L122" t="s">
        <v>429</v>
      </c>
    </row>
    <row r="123" spans="1:12" x14ac:dyDescent="0.3">
      <c r="A123" s="38" t="s">
        <v>175</v>
      </c>
      <c r="B123" s="38" t="s">
        <v>176</v>
      </c>
      <c r="C123" s="38" t="s">
        <v>125</v>
      </c>
      <c r="D123" s="40">
        <v>45000</v>
      </c>
      <c r="E123" s="38" t="s">
        <v>126</v>
      </c>
      <c r="F123" s="38" t="s">
        <v>127</v>
      </c>
      <c r="G123" s="38" t="s">
        <v>128</v>
      </c>
      <c r="H123" s="39" t="s">
        <v>129</v>
      </c>
      <c r="I123" s="43" t="s">
        <v>424</v>
      </c>
      <c r="J123" s="42" t="s">
        <v>424</v>
      </c>
      <c r="K123" t="s">
        <v>428</v>
      </c>
      <c r="L123" t="s">
        <v>429</v>
      </c>
    </row>
    <row r="124" spans="1:12" x14ac:dyDescent="0.3">
      <c r="A124" s="38" t="s">
        <v>177</v>
      </c>
      <c r="B124" s="38" t="s">
        <v>178</v>
      </c>
      <c r="C124" s="38" t="s">
        <v>125</v>
      </c>
      <c r="D124" s="40">
        <v>45000</v>
      </c>
      <c r="E124" s="38" t="s">
        <v>126</v>
      </c>
      <c r="F124" s="38" t="s">
        <v>127</v>
      </c>
      <c r="G124" s="38" t="s">
        <v>128</v>
      </c>
      <c r="H124" s="39" t="s">
        <v>129</v>
      </c>
      <c r="I124" s="43" t="s">
        <v>424</v>
      </c>
      <c r="J124" s="42" t="s">
        <v>424</v>
      </c>
      <c r="K124" t="s">
        <v>427</v>
      </c>
      <c r="L124" t="s">
        <v>429</v>
      </c>
    </row>
    <row r="125" spans="1:12" x14ac:dyDescent="0.3">
      <c r="A125" s="38" t="s">
        <v>179</v>
      </c>
      <c r="B125" s="38" t="s">
        <v>180</v>
      </c>
      <c r="C125" s="38" t="s">
        <v>125</v>
      </c>
      <c r="D125" s="40">
        <v>45000</v>
      </c>
      <c r="E125" s="38" t="s">
        <v>126</v>
      </c>
      <c r="F125" s="38" t="s">
        <v>127</v>
      </c>
      <c r="G125" s="38" t="s">
        <v>128</v>
      </c>
      <c r="H125" s="39" t="s">
        <v>129</v>
      </c>
      <c r="I125" s="43" t="s">
        <v>424</v>
      </c>
      <c r="J125" s="42" t="s">
        <v>424</v>
      </c>
      <c r="K125" t="s">
        <v>427</v>
      </c>
      <c r="L125" t="s">
        <v>429</v>
      </c>
    </row>
    <row r="126" spans="1:12" x14ac:dyDescent="0.3">
      <c r="A126" s="38" t="s">
        <v>181</v>
      </c>
      <c r="B126" s="38" t="s">
        <v>182</v>
      </c>
      <c r="C126" s="38" t="s">
        <v>125</v>
      </c>
      <c r="D126" s="40">
        <v>45000</v>
      </c>
      <c r="E126" s="38" t="s">
        <v>126</v>
      </c>
      <c r="F126" s="38" t="s">
        <v>127</v>
      </c>
      <c r="G126" s="38" t="s">
        <v>128</v>
      </c>
      <c r="H126" s="39" t="s">
        <v>129</v>
      </c>
      <c r="I126" s="43" t="s">
        <v>424</v>
      </c>
      <c r="J126" s="42" t="s">
        <v>424</v>
      </c>
      <c r="K126" t="s">
        <v>428</v>
      </c>
      <c r="L126" t="s">
        <v>429</v>
      </c>
    </row>
    <row r="127" spans="1:12" x14ac:dyDescent="0.3">
      <c r="A127" s="38" t="s">
        <v>183</v>
      </c>
      <c r="B127" s="38" t="s">
        <v>184</v>
      </c>
      <c r="C127" s="38" t="s">
        <v>125</v>
      </c>
      <c r="D127" s="40">
        <v>45000</v>
      </c>
      <c r="E127" s="38" t="s">
        <v>126</v>
      </c>
      <c r="F127" s="38" t="s">
        <v>127</v>
      </c>
      <c r="G127" s="38" t="s">
        <v>128</v>
      </c>
      <c r="H127" s="39" t="s">
        <v>151</v>
      </c>
      <c r="I127" s="43" t="s">
        <v>424</v>
      </c>
      <c r="J127" s="42" t="s">
        <v>424</v>
      </c>
      <c r="K127" t="s">
        <v>427</v>
      </c>
      <c r="L127" t="s">
        <v>429</v>
      </c>
    </row>
    <row r="128" spans="1:12" x14ac:dyDescent="0.3">
      <c r="A128" s="38" t="s">
        <v>185</v>
      </c>
      <c r="B128" s="38" t="s">
        <v>186</v>
      </c>
      <c r="C128" s="38" t="s">
        <v>125</v>
      </c>
      <c r="D128" s="40">
        <v>45000</v>
      </c>
      <c r="E128" s="38" t="s">
        <v>126</v>
      </c>
      <c r="F128" s="38" t="s">
        <v>127</v>
      </c>
      <c r="G128" s="38" t="s">
        <v>128</v>
      </c>
      <c r="H128" s="39" t="s">
        <v>151</v>
      </c>
      <c r="I128" s="43" t="s">
        <v>424</v>
      </c>
      <c r="J128" s="42" t="s">
        <v>424</v>
      </c>
      <c r="K128" t="s">
        <v>428</v>
      </c>
      <c r="L128" t="s">
        <v>429</v>
      </c>
    </row>
    <row r="129" spans="1:12" x14ac:dyDescent="0.3">
      <c r="A129" s="38" t="s">
        <v>187</v>
      </c>
      <c r="B129" s="38" t="s">
        <v>188</v>
      </c>
      <c r="C129" s="38" t="s">
        <v>125</v>
      </c>
      <c r="D129" s="40">
        <v>45000</v>
      </c>
      <c r="E129" s="38" t="s">
        <v>126</v>
      </c>
      <c r="F129" s="38" t="s">
        <v>127</v>
      </c>
      <c r="G129" s="38" t="s">
        <v>128</v>
      </c>
      <c r="H129" s="39" t="s">
        <v>151</v>
      </c>
      <c r="I129" s="43" t="s">
        <v>424</v>
      </c>
      <c r="J129" s="42" t="s">
        <v>424</v>
      </c>
      <c r="K129" t="s">
        <v>428</v>
      </c>
      <c r="L129" t="s">
        <v>429</v>
      </c>
    </row>
    <row r="130" spans="1:12" x14ac:dyDescent="0.3">
      <c r="A130" s="38" t="s">
        <v>158</v>
      </c>
      <c r="B130" s="38" t="s">
        <v>159</v>
      </c>
      <c r="C130" s="38" t="s">
        <v>125</v>
      </c>
      <c r="D130" s="40">
        <v>48000</v>
      </c>
      <c r="E130" s="38" t="s">
        <v>126</v>
      </c>
      <c r="F130" s="38" t="s">
        <v>127</v>
      </c>
      <c r="G130" s="38" t="s">
        <v>136</v>
      </c>
      <c r="H130" s="39" t="s">
        <v>151</v>
      </c>
      <c r="I130" s="43" t="s">
        <v>424</v>
      </c>
      <c r="J130" s="42" t="s">
        <v>424</v>
      </c>
      <c r="K130" t="s">
        <v>427</v>
      </c>
      <c r="L130" t="s">
        <v>429</v>
      </c>
    </row>
    <row r="131" spans="1:12" x14ac:dyDescent="0.3">
      <c r="A131" s="38" t="s">
        <v>160</v>
      </c>
      <c r="B131" s="38" t="s">
        <v>161</v>
      </c>
      <c r="C131" s="38" t="s">
        <v>125</v>
      </c>
      <c r="D131" s="40">
        <v>48000</v>
      </c>
      <c r="E131" s="38" t="s">
        <v>126</v>
      </c>
      <c r="F131" s="38" t="s">
        <v>127</v>
      </c>
      <c r="G131" s="38" t="s">
        <v>136</v>
      </c>
      <c r="H131" s="39" t="s">
        <v>151</v>
      </c>
      <c r="I131" s="43" t="s">
        <v>424</v>
      </c>
      <c r="J131" s="42" t="s">
        <v>424</v>
      </c>
      <c r="K131" t="s">
        <v>428</v>
      </c>
      <c r="L131" t="s">
        <v>429</v>
      </c>
    </row>
    <row r="132" spans="1:12" x14ac:dyDescent="0.3">
      <c r="A132" s="38" t="s">
        <v>345</v>
      </c>
      <c r="B132" s="38" t="s">
        <v>346</v>
      </c>
      <c r="C132" s="38" t="s">
        <v>347</v>
      </c>
      <c r="D132" s="40" t="s">
        <v>348</v>
      </c>
      <c r="E132" s="38" t="s">
        <v>349</v>
      </c>
      <c r="F132" s="38" t="s">
        <v>127</v>
      </c>
      <c r="G132" s="38" t="s">
        <v>136</v>
      </c>
      <c r="H132" s="39" t="s">
        <v>344</v>
      </c>
      <c r="I132" s="3"/>
      <c r="J132" s="42" t="s">
        <v>424</v>
      </c>
    </row>
    <row r="133" spans="1:12" x14ac:dyDescent="0.3">
      <c r="A133" s="38" t="s">
        <v>350</v>
      </c>
      <c r="B133" s="38" t="s">
        <v>351</v>
      </c>
      <c r="C133" s="38" t="s">
        <v>347</v>
      </c>
      <c r="D133" s="40" t="s">
        <v>348</v>
      </c>
      <c r="E133" s="38" t="s">
        <v>349</v>
      </c>
      <c r="F133" s="38" t="s">
        <v>127</v>
      </c>
      <c r="G133" s="38" t="s">
        <v>136</v>
      </c>
      <c r="H133" s="39" t="s">
        <v>344</v>
      </c>
      <c r="I133" s="3"/>
      <c r="J133" s="42" t="s">
        <v>424</v>
      </c>
    </row>
    <row r="134" spans="1:12" x14ac:dyDescent="0.3">
      <c r="A134" s="38" t="s">
        <v>352</v>
      </c>
      <c r="B134" s="38" t="s">
        <v>353</v>
      </c>
      <c r="C134" s="38" t="s">
        <v>347</v>
      </c>
      <c r="D134" s="40" t="s">
        <v>348</v>
      </c>
      <c r="E134" s="38" t="s">
        <v>349</v>
      </c>
      <c r="F134" s="38" t="s">
        <v>127</v>
      </c>
      <c r="G134" s="38" t="s">
        <v>136</v>
      </c>
      <c r="H134" s="39" t="s">
        <v>344</v>
      </c>
      <c r="I134" s="3"/>
      <c r="J134" s="42" t="s">
        <v>424</v>
      </c>
    </row>
    <row r="135" spans="1:12" x14ac:dyDescent="0.3">
      <c r="A135" s="38" t="s">
        <v>354</v>
      </c>
      <c r="B135" s="38" t="s">
        <v>355</v>
      </c>
      <c r="C135" s="38" t="s">
        <v>347</v>
      </c>
      <c r="D135" s="40" t="s">
        <v>348</v>
      </c>
      <c r="E135" s="38" t="s">
        <v>349</v>
      </c>
      <c r="F135" s="38" t="s">
        <v>127</v>
      </c>
      <c r="G135" s="38" t="s">
        <v>136</v>
      </c>
      <c r="H135" s="39" t="s">
        <v>129</v>
      </c>
      <c r="I135" s="3"/>
      <c r="J135" s="42" t="s">
        <v>424</v>
      </c>
    </row>
    <row r="136" spans="1:12" x14ac:dyDescent="0.3">
      <c r="A136" s="38" t="s">
        <v>356</v>
      </c>
      <c r="B136" s="38" t="s">
        <v>357</v>
      </c>
      <c r="C136" s="38" t="s">
        <v>347</v>
      </c>
      <c r="D136" s="40" t="s">
        <v>348</v>
      </c>
      <c r="E136" s="38" t="s">
        <v>349</v>
      </c>
      <c r="F136" s="38" t="s">
        <v>127</v>
      </c>
      <c r="G136" s="38" t="s">
        <v>136</v>
      </c>
      <c r="H136" s="39" t="s">
        <v>129</v>
      </c>
      <c r="I136" s="3"/>
      <c r="J136" s="42" t="s">
        <v>424</v>
      </c>
    </row>
    <row r="137" spans="1:12" x14ac:dyDescent="0.3">
      <c r="A137" s="38" t="s">
        <v>358</v>
      </c>
      <c r="B137" s="38" t="s">
        <v>359</v>
      </c>
      <c r="C137" s="38" t="s">
        <v>347</v>
      </c>
      <c r="D137" s="40" t="s">
        <v>348</v>
      </c>
      <c r="E137" s="38" t="s">
        <v>349</v>
      </c>
      <c r="F137" s="38" t="s">
        <v>127</v>
      </c>
      <c r="G137" s="38" t="s">
        <v>136</v>
      </c>
      <c r="H137" s="39" t="s">
        <v>129</v>
      </c>
      <c r="I137" s="3"/>
      <c r="J137" s="42" t="s">
        <v>424</v>
      </c>
    </row>
    <row r="138" spans="1:12" x14ac:dyDescent="0.3">
      <c r="A138" s="38" t="s">
        <v>360</v>
      </c>
      <c r="B138" s="38" t="s">
        <v>361</v>
      </c>
      <c r="C138" s="38" t="s">
        <v>347</v>
      </c>
      <c r="D138" s="40" t="s">
        <v>348</v>
      </c>
      <c r="E138" s="38" t="s">
        <v>126</v>
      </c>
      <c r="F138" s="38" t="s">
        <v>127</v>
      </c>
      <c r="G138" s="38" t="s">
        <v>362</v>
      </c>
      <c r="H138" s="39" t="s">
        <v>129</v>
      </c>
      <c r="I138" s="3"/>
      <c r="J138" s="42" t="s">
        <v>424</v>
      </c>
    </row>
    <row r="139" spans="1:12" x14ac:dyDescent="0.3">
      <c r="A139" s="38" t="s">
        <v>363</v>
      </c>
      <c r="B139" s="38" t="s">
        <v>364</v>
      </c>
      <c r="C139" s="38" t="s">
        <v>347</v>
      </c>
      <c r="D139" s="40" t="s">
        <v>348</v>
      </c>
      <c r="E139" s="38" t="s">
        <v>126</v>
      </c>
      <c r="F139" s="38" t="s">
        <v>127</v>
      </c>
      <c r="G139" s="38" t="s">
        <v>362</v>
      </c>
      <c r="H139" s="39" t="s">
        <v>129</v>
      </c>
      <c r="I139" s="3"/>
      <c r="J139" s="42" t="s">
        <v>424</v>
      </c>
    </row>
    <row r="140" spans="1:12" x14ac:dyDescent="0.3">
      <c r="A140" s="38" t="s">
        <v>365</v>
      </c>
      <c r="B140" s="38" t="s">
        <v>366</v>
      </c>
      <c r="C140" s="38" t="s">
        <v>347</v>
      </c>
      <c r="D140" s="40" t="s">
        <v>348</v>
      </c>
      <c r="E140" s="38" t="s">
        <v>126</v>
      </c>
      <c r="F140" s="38" t="s">
        <v>127</v>
      </c>
      <c r="G140" s="38" t="s">
        <v>362</v>
      </c>
      <c r="H140" s="39" t="s">
        <v>129</v>
      </c>
      <c r="I140" s="3"/>
      <c r="J140" s="42" t="s">
        <v>424</v>
      </c>
    </row>
    <row r="141" spans="1:12" x14ac:dyDescent="0.3">
      <c r="A141" s="38" t="s">
        <v>367</v>
      </c>
      <c r="B141" s="38" t="s">
        <v>368</v>
      </c>
      <c r="C141" s="38" t="s">
        <v>347</v>
      </c>
      <c r="D141" s="40" t="s">
        <v>348</v>
      </c>
      <c r="E141" s="38" t="s">
        <v>126</v>
      </c>
      <c r="F141" s="38" t="s">
        <v>127</v>
      </c>
      <c r="G141" s="38" t="s">
        <v>362</v>
      </c>
      <c r="H141" s="39" t="s">
        <v>151</v>
      </c>
      <c r="I141" s="3"/>
      <c r="J141" s="42" t="s">
        <v>424</v>
      </c>
    </row>
    <row r="142" spans="1:12" x14ac:dyDescent="0.3">
      <c r="A142" s="38" t="s">
        <v>369</v>
      </c>
      <c r="B142" s="38" t="s">
        <v>370</v>
      </c>
      <c r="C142" s="38" t="s">
        <v>347</v>
      </c>
      <c r="D142" s="40" t="s">
        <v>348</v>
      </c>
      <c r="E142" s="38" t="s">
        <v>126</v>
      </c>
      <c r="F142" s="38" t="s">
        <v>127</v>
      </c>
      <c r="G142" s="38" t="s">
        <v>362</v>
      </c>
      <c r="H142" s="39" t="s">
        <v>151</v>
      </c>
      <c r="I142" s="3"/>
      <c r="J142" s="42" t="s">
        <v>424</v>
      </c>
    </row>
    <row r="143" spans="1:12" x14ac:dyDescent="0.3">
      <c r="A143" s="38" t="s">
        <v>371</v>
      </c>
      <c r="B143" s="38" t="s">
        <v>372</v>
      </c>
      <c r="C143" s="38" t="s">
        <v>347</v>
      </c>
      <c r="D143" s="40" t="s">
        <v>348</v>
      </c>
      <c r="E143" s="38" t="s">
        <v>126</v>
      </c>
      <c r="F143" s="38" t="s">
        <v>127</v>
      </c>
      <c r="G143" s="38" t="s">
        <v>362</v>
      </c>
      <c r="H143" s="39" t="s">
        <v>151</v>
      </c>
      <c r="I143" s="3"/>
      <c r="J143" s="42" t="s">
        <v>424</v>
      </c>
    </row>
    <row r="144" spans="1:12" x14ac:dyDescent="0.3">
      <c r="A144" s="38" t="s">
        <v>373</v>
      </c>
      <c r="B144" s="38" t="s">
        <v>374</v>
      </c>
      <c r="C144" s="38" t="s">
        <v>347</v>
      </c>
      <c r="D144" s="40" t="s">
        <v>348</v>
      </c>
      <c r="E144" s="38" t="s">
        <v>126</v>
      </c>
      <c r="F144" s="38" t="s">
        <v>127</v>
      </c>
      <c r="G144" s="38" t="s">
        <v>362</v>
      </c>
      <c r="H144" s="39" t="s">
        <v>151</v>
      </c>
      <c r="I144" s="3"/>
      <c r="J144" s="42" t="s">
        <v>424</v>
      </c>
    </row>
    <row r="145" spans="1:10" x14ac:dyDescent="0.3">
      <c r="A145" s="38" t="s">
        <v>375</v>
      </c>
      <c r="B145" s="38" t="s">
        <v>376</v>
      </c>
      <c r="C145" s="38" t="s">
        <v>347</v>
      </c>
      <c r="D145" s="40" t="s">
        <v>348</v>
      </c>
      <c r="E145" s="38" t="s">
        <v>126</v>
      </c>
      <c r="F145" s="38" t="s">
        <v>127</v>
      </c>
      <c r="G145" s="38" t="s">
        <v>362</v>
      </c>
      <c r="H145" s="39" t="s">
        <v>151</v>
      </c>
      <c r="I145" s="3"/>
      <c r="J145" s="42" t="s">
        <v>424</v>
      </c>
    </row>
    <row r="146" spans="1:10" x14ac:dyDescent="0.3">
      <c r="A146" s="38" t="s">
        <v>377</v>
      </c>
      <c r="B146" s="38" t="s">
        <v>378</v>
      </c>
      <c r="C146" s="38" t="s">
        <v>347</v>
      </c>
      <c r="D146" s="39" t="s">
        <v>348</v>
      </c>
      <c r="E146" s="38" t="s">
        <v>126</v>
      </c>
      <c r="F146" s="38" t="s">
        <v>127</v>
      </c>
      <c r="G146" s="38" t="s">
        <v>362</v>
      </c>
      <c r="H146" s="39" t="s">
        <v>129</v>
      </c>
      <c r="I146" s="3"/>
      <c r="J146" s="42" t="s">
        <v>424</v>
      </c>
    </row>
    <row r="147" spans="1:10" x14ac:dyDescent="0.3">
      <c r="A147" s="38" t="s">
        <v>379</v>
      </c>
      <c r="B147" s="38" t="s">
        <v>380</v>
      </c>
      <c r="C147" s="38" t="s">
        <v>347</v>
      </c>
      <c r="D147" s="39" t="s">
        <v>348</v>
      </c>
      <c r="E147" s="38" t="s">
        <v>126</v>
      </c>
      <c r="F147" s="38" t="s">
        <v>127</v>
      </c>
      <c r="G147" s="38" t="s">
        <v>362</v>
      </c>
      <c r="H147" s="39" t="s">
        <v>129</v>
      </c>
      <c r="I147" s="3"/>
      <c r="J147" s="42" t="s">
        <v>424</v>
      </c>
    </row>
    <row r="148" spans="1:10" x14ac:dyDescent="0.3">
      <c r="A148" s="38" t="s">
        <v>381</v>
      </c>
      <c r="B148" s="38" t="s">
        <v>382</v>
      </c>
      <c r="C148" s="38" t="s">
        <v>347</v>
      </c>
      <c r="D148" s="39" t="s">
        <v>348</v>
      </c>
      <c r="E148" s="38" t="s">
        <v>126</v>
      </c>
      <c r="F148" s="38" t="s">
        <v>127</v>
      </c>
      <c r="G148" s="38" t="s">
        <v>362</v>
      </c>
      <c r="H148" s="39" t="s">
        <v>151</v>
      </c>
      <c r="I148" s="3"/>
      <c r="J148" s="42" t="s">
        <v>424</v>
      </c>
    </row>
    <row r="149" spans="1:10" x14ac:dyDescent="0.3">
      <c r="A149" s="38" t="s">
        <v>383</v>
      </c>
      <c r="B149" s="38" t="s">
        <v>384</v>
      </c>
      <c r="C149" s="38" t="s">
        <v>347</v>
      </c>
      <c r="D149" s="39" t="s">
        <v>348</v>
      </c>
      <c r="E149" s="38" t="s">
        <v>126</v>
      </c>
      <c r="F149" s="38" t="s">
        <v>127</v>
      </c>
      <c r="G149" s="38" t="s">
        <v>362</v>
      </c>
      <c r="H149" s="39" t="s">
        <v>151</v>
      </c>
      <c r="I149" s="3"/>
      <c r="J149" s="42" t="s">
        <v>424</v>
      </c>
    </row>
    <row r="150" spans="1:10" x14ac:dyDescent="0.3">
      <c r="A150" s="38" t="s">
        <v>385</v>
      </c>
      <c r="B150" s="38" t="s">
        <v>386</v>
      </c>
      <c r="C150" s="38" t="s">
        <v>347</v>
      </c>
      <c r="D150" s="39" t="s">
        <v>348</v>
      </c>
      <c r="E150" s="38" t="s">
        <v>126</v>
      </c>
      <c r="F150" s="38" t="s">
        <v>127</v>
      </c>
      <c r="G150" s="38" t="s">
        <v>362</v>
      </c>
      <c r="H150" s="39" t="s">
        <v>151</v>
      </c>
      <c r="I150" s="3"/>
      <c r="J150" s="42" t="s">
        <v>424</v>
      </c>
    </row>
    <row r="151" spans="1:10" x14ac:dyDescent="0.3">
      <c r="A151" s="38" t="s">
        <v>387</v>
      </c>
      <c r="B151" s="38" t="s">
        <v>388</v>
      </c>
      <c r="C151" s="38" t="s">
        <v>347</v>
      </c>
      <c r="D151" s="39" t="s">
        <v>348</v>
      </c>
      <c r="E151" s="38" t="s">
        <v>126</v>
      </c>
      <c r="F151" s="38" t="s">
        <v>127</v>
      </c>
      <c r="G151" s="38" t="s">
        <v>362</v>
      </c>
      <c r="H151" s="39" t="s">
        <v>151</v>
      </c>
      <c r="I151" s="3"/>
      <c r="J151" s="42" t="s">
        <v>424</v>
      </c>
    </row>
    <row r="152" spans="1:10" x14ac:dyDescent="0.3">
      <c r="A152" s="38" t="s">
        <v>389</v>
      </c>
      <c r="B152" s="38" t="s">
        <v>390</v>
      </c>
      <c r="C152" s="38" t="s">
        <v>347</v>
      </c>
      <c r="D152" s="39" t="s">
        <v>348</v>
      </c>
      <c r="E152" s="38" t="s">
        <v>126</v>
      </c>
      <c r="F152" s="38" t="s">
        <v>127</v>
      </c>
      <c r="G152" s="38" t="s">
        <v>362</v>
      </c>
      <c r="H152" s="39" t="s">
        <v>151</v>
      </c>
      <c r="I152" s="3"/>
      <c r="J152" s="42" t="s">
        <v>424</v>
      </c>
    </row>
    <row r="153" spans="1:10" x14ac:dyDescent="0.3">
      <c r="A153" s="38" t="s">
        <v>391</v>
      </c>
      <c r="B153" s="38" t="s">
        <v>392</v>
      </c>
      <c r="C153" s="38" t="s">
        <v>347</v>
      </c>
      <c r="D153" s="39" t="s">
        <v>348</v>
      </c>
      <c r="E153" s="38" t="s">
        <v>126</v>
      </c>
      <c r="F153" s="38" t="s">
        <v>127</v>
      </c>
      <c r="G153" s="38" t="s">
        <v>362</v>
      </c>
      <c r="H153" s="39" t="s">
        <v>151</v>
      </c>
      <c r="I153" s="3"/>
      <c r="J153" s="42" t="s">
        <v>424</v>
      </c>
    </row>
    <row r="154" spans="1:10" x14ac:dyDescent="0.3">
      <c r="A154" s="38" t="s">
        <v>393</v>
      </c>
      <c r="B154" s="38" t="s">
        <v>394</v>
      </c>
      <c r="C154" s="38" t="s">
        <v>347</v>
      </c>
      <c r="D154" s="39" t="s">
        <v>348</v>
      </c>
      <c r="E154" s="38" t="s">
        <v>126</v>
      </c>
      <c r="F154" s="38" t="s">
        <v>127</v>
      </c>
      <c r="G154" s="38" t="s">
        <v>362</v>
      </c>
      <c r="H154" s="39" t="s">
        <v>151</v>
      </c>
      <c r="I154" s="3"/>
      <c r="J154" s="42" t="s">
        <v>424</v>
      </c>
    </row>
    <row r="155" spans="1:10" x14ac:dyDescent="0.3">
      <c r="A155" s="38" t="s">
        <v>395</v>
      </c>
      <c r="B155" s="38" t="s">
        <v>396</v>
      </c>
      <c r="C155" s="38" t="s">
        <v>347</v>
      </c>
      <c r="D155" s="39" t="s">
        <v>348</v>
      </c>
      <c r="E155" s="38" t="s">
        <v>126</v>
      </c>
      <c r="F155" s="38" t="s">
        <v>127</v>
      </c>
      <c r="G155" s="38" t="s">
        <v>362</v>
      </c>
      <c r="H155" s="39" t="s">
        <v>151</v>
      </c>
      <c r="I155" s="3"/>
      <c r="J155" s="42" t="s">
        <v>424</v>
      </c>
    </row>
    <row r="156" spans="1:10" x14ac:dyDescent="0.3">
      <c r="A156" s="38" t="s">
        <v>397</v>
      </c>
      <c r="B156" s="38" t="s">
        <v>398</v>
      </c>
      <c r="C156" s="38" t="s">
        <v>347</v>
      </c>
      <c r="D156" s="39" t="s">
        <v>348</v>
      </c>
      <c r="E156" s="38" t="s">
        <v>126</v>
      </c>
      <c r="F156" s="38" t="s">
        <v>127</v>
      </c>
      <c r="G156" s="38" t="s">
        <v>362</v>
      </c>
      <c r="H156" s="39" t="s">
        <v>151</v>
      </c>
      <c r="I156" s="3"/>
      <c r="J156" s="42" t="s">
        <v>424</v>
      </c>
    </row>
    <row r="157" spans="1:10" x14ac:dyDescent="0.3">
      <c r="A157" s="38" t="s">
        <v>399</v>
      </c>
      <c r="B157" s="38" t="s">
        <v>400</v>
      </c>
      <c r="C157" s="38" t="s">
        <v>347</v>
      </c>
      <c r="D157" s="39" t="s">
        <v>348</v>
      </c>
      <c r="E157" s="38" t="s">
        <v>126</v>
      </c>
      <c r="F157" s="38" t="s">
        <v>127</v>
      </c>
      <c r="G157" s="38" t="s">
        <v>362</v>
      </c>
      <c r="H157" s="39" t="s">
        <v>151</v>
      </c>
      <c r="I157" s="3"/>
      <c r="J157" s="42" t="s">
        <v>424</v>
      </c>
    </row>
    <row r="158" spans="1:10" x14ac:dyDescent="0.3">
      <c r="A158" s="38" t="s">
        <v>401</v>
      </c>
      <c r="B158" s="38" t="s">
        <v>402</v>
      </c>
      <c r="C158" s="38" t="s">
        <v>347</v>
      </c>
      <c r="D158" s="39" t="s">
        <v>348</v>
      </c>
      <c r="E158" s="38" t="s">
        <v>126</v>
      </c>
      <c r="F158" s="38" t="s">
        <v>127</v>
      </c>
      <c r="G158" s="38" t="s">
        <v>362</v>
      </c>
      <c r="H158" s="39" t="s">
        <v>151</v>
      </c>
      <c r="I158" s="3"/>
      <c r="J158" s="42" t="s">
        <v>424</v>
      </c>
    </row>
    <row r="159" spans="1:10" x14ac:dyDescent="0.3">
      <c r="A159" s="38" t="s">
        <v>403</v>
      </c>
      <c r="B159" s="38" t="s">
        <v>404</v>
      </c>
      <c r="C159" s="38" t="s">
        <v>347</v>
      </c>
      <c r="D159" s="39" t="s">
        <v>348</v>
      </c>
      <c r="E159" s="38" t="s">
        <v>126</v>
      </c>
      <c r="F159" s="38" t="s">
        <v>127</v>
      </c>
      <c r="G159" s="38" t="s">
        <v>362</v>
      </c>
      <c r="H159" s="39" t="s">
        <v>151</v>
      </c>
      <c r="I159" s="3"/>
      <c r="J159" s="42" t="s">
        <v>424</v>
      </c>
    </row>
    <row r="160" spans="1:10" x14ac:dyDescent="0.3">
      <c r="A160" s="38" t="s">
        <v>405</v>
      </c>
      <c r="B160" s="38" t="s">
        <v>406</v>
      </c>
      <c r="C160" s="38" t="s">
        <v>347</v>
      </c>
      <c r="D160" s="39" t="s">
        <v>348</v>
      </c>
      <c r="E160" s="38" t="s">
        <v>126</v>
      </c>
      <c r="F160" s="38" t="s">
        <v>127</v>
      </c>
      <c r="G160" s="38" t="s">
        <v>362</v>
      </c>
      <c r="H160" s="39" t="s">
        <v>151</v>
      </c>
      <c r="I160" s="3"/>
      <c r="J160" s="42" t="s">
        <v>424</v>
      </c>
    </row>
    <row r="161" spans="1:10" x14ac:dyDescent="0.3">
      <c r="A161" s="38" t="s">
        <v>407</v>
      </c>
      <c r="B161" s="38" t="s">
        <v>408</v>
      </c>
      <c r="C161" s="38" t="s">
        <v>347</v>
      </c>
      <c r="D161" s="39" t="s">
        <v>348</v>
      </c>
      <c r="E161" s="38" t="s">
        <v>126</v>
      </c>
      <c r="F161" s="38" t="s">
        <v>127</v>
      </c>
      <c r="G161" s="38" t="s">
        <v>362</v>
      </c>
      <c r="H161" s="39" t="s">
        <v>151</v>
      </c>
      <c r="I161" s="3"/>
      <c r="J161" s="42" t="s">
        <v>424</v>
      </c>
    </row>
    <row r="162" spans="1:10" x14ac:dyDescent="0.3">
      <c r="A162" s="38" t="s">
        <v>409</v>
      </c>
      <c r="B162" s="38" t="s">
        <v>408</v>
      </c>
      <c r="C162" s="38" t="s">
        <v>347</v>
      </c>
      <c r="D162" s="39" t="s">
        <v>348</v>
      </c>
      <c r="E162" s="38" t="s">
        <v>126</v>
      </c>
      <c r="F162" s="38" t="s">
        <v>127</v>
      </c>
      <c r="G162" s="38" t="s">
        <v>362</v>
      </c>
      <c r="H162" s="39" t="s">
        <v>151</v>
      </c>
      <c r="I162" s="3"/>
      <c r="J162" s="42" t="s">
        <v>424</v>
      </c>
    </row>
    <row r="163" spans="1:10" x14ac:dyDescent="0.3">
      <c r="A163" s="38" t="s">
        <v>410</v>
      </c>
      <c r="B163" s="38" t="s">
        <v>411</v>
      </c>
      <c r="C163" s="38" t="s">
        <v>347</v>
      </c>
      <c r="D163" s="39" t="s">
        <v>348</v>
      </c>
      <c r="E163" s="38" t="s">
        <v>126</v>
      </c>
      <c r="F163" s="38" t="s">
        <v>127</v>
      </c>
      <c r="G163" s="38" t="s">
        <v>362</v>
      </c>
      <c r="H163" s="39" t="s">
        <v>151</v>
      </c>
      <c r="I163" s="3"/>
      <c r="J163" s="42" t="s">
        <v>424</v>
      </c>
    </row>
    <row r="164" spans="1:10" x14ac:dyDescent="0.3">
      <c r="A164" s="38" t="s">
        <v>412</v>
      </c>
      <c r="B164" s="38" t="s">
        <v>413</v>
      </c>
      <c r="C164" s="38" t="s">
        <v>347</v>
      </c>
      <c r="D164" s="39" t="s">
        <v>348</v>
      </c>
      <c r="E164" s="38" t="s">
        <v>126</v>
      </c>
      <c r="F164" s="38" t="s">
        <v>127</v>
      </c>
      <c r="G164" s="38" t="s">
        <v>362</v>
      </c>
      <c r="H164" s="39" t="s">
        <v>151</v>
      </c>
      <c r="I164" s="3"/>
      <c r="J164" s="42" t="s">
        <v>424</v>
      </c>
    </row>
    <row r="165" spans="1:10" x14ac:dyDescent="0.3">
      <c r="A165" s="38" t="s">
        <v>414</v>
      </c>
      <c r="B165" s="38" t="s">
        <v>415</v>
      </c>
      <c r="C165" s="38" t="s">
        <v>347</v>
      </c>
      <c r="D165" s="39" t="s">
        <v>348</v>
      </c>
      <c r="E165" s="38" t="s">
        <v>126</v>
      </c>
      <c r="F165" s="38" t="s">
        <v>127</v>
      </c>
      <c r="G165" s="38" t="s">
        <v>362</v>
      </c>
      <c r="H165" s="39" t="s">
        <v>151</v>
      </c>
      <c r="I165" s="3"/>
      <c r="J165" s="42" t="s">
        <v>424</v>
      </c>
    </row>
  </sheetData>
  <autoFilter ref="A2:L165" xr:uid="{A45ED8D4-9F23-4438-98C2-7C8216256B2B}"/>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Phụ lục G</vt:lpstr>
      <vt:lpstr>Làm mát áp suất âm</vt:lpstr>
      <vt:lpstr>Hút khói bụi, thông gió</vt:lpstr>
      <vt:lpstr>Danh sách quạt thông gió</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Lê Quyết Thắng</cp:lastModifiedBy>
  <dcterms:created xsi:type="dcterms:W3CDTF">2026-08-11T01:29:01Z</dcterms:created>
  <dcterms:modified xsi:type="dcterms:W3CDTF">2026-09-07T04:25:45Z</dcterms:modified>
</cp:coreProperties>
</file>