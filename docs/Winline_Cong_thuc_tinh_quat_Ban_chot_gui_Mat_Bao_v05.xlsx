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896020fb6834a96" /></Relationships>
</file>

<file path=xl/workbook.xml><?xml version="1.0" encoding="utf-8"?>
<x:workbook xmlns:x="http://schemas.openxmlformats.org/spreadsheetml/2006/main">
  <x:sheets>
    <x:sheet xmlns:r="http://schemas.openxmlformats.org/officeDocument/2006/relationships" name="00_Huong_dan" sheetId="1" r:id="Rfd5faab422824fac"/>
    <x:sheet xmlns:r="http://schemas.openxmlformats.org/officeDocument/2006/relationships" name="01_Thong_gio_chung" sheetId="2" r:id="Rabc52ea1db6f4b6d"/>
    <x:sheet xmlns:r="http://schemas.openxmlformats.org/officeDocument/2006/relationships" name="02_CoolingPad" sheetId="3" r:id="R75effac45c1e4a5b"/>
    <x:sheet xmlns:r="http://schemas.openxmlformats.org/officeDocument/2006/relationships" name="03_Quy_doi_tam" sheetId="4" r:id="Re44f007f8f4e48ea"/>
    <x:sheet xmlns:r="http://schemas.openxmlformats.org/officeDocument/2006/relationships" name="04_Schema_du_lieu" sheetId="5" r:id="R4a2966a15b5041bd"/>
    <x:sheet xmlns:r="http://schemas.openxmlformats.org/officeDocument/2006/relationships" name="05_Boi_so_tham_khao" sheetId="6" r:id="Rfaee82e62d054b36"/>
    <x:sheet xmlns:r="http://schemas.openxmlformats.org/officeDocument/2006/relationships" name="06_Test_nghiem_thu" sheetId="7" r:id="R78f3e08fdf0e458f"/>
    <x:sheet xmlns:r="http://schemas.openxmlformats.org/officeDocument/2006/relationships" name="07_Diem_can_chot" sheetId="8" r:id="Rbf8efea710a74849"/>
    <x:sheet xmlns:r="http://schemas.openxmlformats.org/officeDocument/2006/relationships" name="Nguon_Danh_sach_SP" sheetId="9" r:id="R1616699c50f44efb"/>
    <x:sheet xmlns:r="http://schemas.openxmlformats.org/officeDocument/2006/relationships" name="Nguon_Phu_luc_G" sheetId="10" r:id="R8b47675e663c431f"/>
  </x:sheets>
</x:workbook>
</file>

<file path=xl/sharedStrings.xml><?xml version="1.0" encoding="utf-8"?>
<x:sst xmlns:x="http://schemas.openxmlformats.org/spreadsheetml/2006/main">
  <x:si>
    <x:t xml:space="preserve">CÔNG THỨC TÍNH QUẠT – TÀI LIỆU BÀN GIAO MẮT BÃO</x:t>
  </x:si>
  <x:si>
    <x:t xml:space="preserve">Mục đích: chuyển bảng Excel đang dùng thành đặc tả có thể lập trình, đồng thời tách rõ nội dung đã chốt và nội dung cần Winline xác nhận.</x:t>
  </x:si>
  <x:si>
    <x:t xml:space="preserve">1. PHẠM VI VÀ NGUYÊN TẮC</x:t>
  </x:si>
  <x:si>
    <x:t xml:space="preserve">Mục</x:t>
  </x:si>
  <x:si>
    <x:t xml:space="preserve">Nội dung</x:t>
  </x:si>
  <x:si>
    <x:t xml:space="preserve">Giải thích/ghi chú bàn giao</x:t>
  </x:si>
  <x:si>
    <x:t xml:space="preserve">Phạm vi vòng này</x:t>
  </x:si>
  <x:si>
    <x:t xml:space="preserve">Thông gió tổng thể/hút khí chung; hệ thống làm mát áp suất âm bằng quạt hút + cooling pad.</x:t>
  </x:si>
  <x:si>
    <x:t xml:space="preserve">Không dùng file gốc như mã nguồn. Mắt Bão lập trình theo công thức, schema dữ liệu và bộ test trong file này.</x:t>
  </x:si>
  <x:si>
    <x:t xml:space="preserve">Nguồn dữ liệu</x:t>
  </x:si>
  <x:si>
    <x:t xml:space="preserve">Tính chất kết quả</x:t>
  </x:si>
  <x:si>
    <x:t xml:space="preserve">Dự tính tham khảo theo dữ liệu người dùng nhập và thông số sản phẩm. Không thay thế thiết kế kỹ thuật hoặc báo giá chính thức.</x:t>
  </x:si>
  <x:si>
    <x:t xml:space="preserve">Các công thức/giả định tô màu cam là nội dung chưa đủ cơ sở hoặc có mâu thuẫn; chỉ triển khai sau khi Winline xác nhận.</x:t>
  </x:si>
  <x:si>
    <x:t xml:space="preserve">Quy tắc số lượng</x:t>
  </x:si>
  <x:si>
    <x:t xml:space="preserve">Số lượng thiết bị phải làm tròn lên; sau khi chọn phải tính mức chênh lệch giữa năng lực đã chọn và nhu cầu.</x:t>
  </x:si>
  <x:si>
    <x:t xml:space="preserve">Các ô vàng là đầu vào; ô xanh lá là kết quả công thức; ô đỏ/cam là cảnh báo.</x:t>
  </x:si>
  <x:si>
    <x:t xml:space="preserve">Đầu ra</x:t>
  </x:si>
  <x:si>
    <x:t xml:space="preserve">Một mã bản dự tính; lưu backend; tải PDF; gửi email; gửi link bản dự tính cho Winline qua Zalo.</x:t>
  </x:si>
  <x:si>
    <x:t xml:space="preserve">Phần hút bụi cục bộ, chụp hút và hệ thống đường ống cần thêm vận tốc bắt giữ/trở lực/áp suất; không nên dùng duy nhất bội số trao đổi khí.</x:t>
  </x:si>
  <x:si>
    <x:t xml:space="preserve">2. CẤU TRÚC FILE</x:t>
  </x:si>
  <x:si>
    <x:t xml:space="preserve">Sheet</x:t>
  </x:si>
  <x:si>
    <x:t xml:space="preserve">Vai trò</x:t>
  </x:si>
  <x:si>
    <x:t xml:space="preserve">Trạng thái</x:t>
  </x:si>
  <x:si>
    <x:t xml:space="preserve">01_Thong_gio_chung</x:t>
  </x:si>
  <x:si>
    <x:t xml:space="preserve">Công thức thông gió tổng thể/hút khí chung</x:t>
  </x:si>
  <x:si>
    <x:t xml:space="preserve">Có thể lập trình sau khi chốt bảng bội số</x:t>
  </x:si>
  <x:si>
    <x:t xml:space="preserve">02_CoolingPad</x:t>
  </x:si>
  <x:si>
    <x:t xml:space="preserve">Công thức quạt hút và diện tích cooling pad</x:t>
  </x:si>
  <x:si>
    <x:t xml:space="preserve">Cần xác nhận cơ sở 9.000 m³/h/m²</x:t>
  </x:si>
  <x:si>
    <x:t xml:space="preserve">03_Quy_doi_tam</x:t>
  </x:si>
  <x:si>
    <x:t xml:space="preserve">Quy đổi diện tích sang số cụm/tấm</x:t>
  </x:si>
  <x:si>
    <x:t xml:space="preserve">Có lỗi làm tròn trong file gốc; cần xác nhận khái niệm tấm/cụm</x:t>
  </x:si>
  <x:si>
    <x:t xml:space="preserve">04_Schema_du_lieu</x:t>
  </x:si>
  <x:si>
    <x:t xml:space="preserve">Trường dữ liệu backend và giao diện</x:t>
  </x:si>
  <x:si>
    <x:t xml:space="preserve">Khung bàn giao</x:t>
  </x:si>
  <x:si>
    <x:t xml:space="preserve">05_Boi_so_tham_khao</x:t>
  </x:si>
  <x:si>
    <x:t xml:space="preserve">Hai bảng bội số đang được sử dụng</x:t>
  </x:si>
  <x:si>
    <x:t xml:space="preserve">Đang mâu thuẫn; cần chọn nguồn chính thức</x:t>
  </x:si>
  <x:si>
    <x:t xml:space="preserve">06_Test_nghiem_thu</x:t>
  </x:si>
  <x:si>
    <x:t xml:space="preserve">Kết quả mẫu để Mắt Bão kiểm thử</x:t>
  </x:si>
  <x:si>
    <x:t xml:space="preserve">Dùng nghiệm thu lập trình</x:t>
  </x:si>
  <x:si>
    <x:t xml:space="preserve">07_Diem_can_chot</x:t>
  </x:si>
  <x:si>
    <x:t xml:space="preserve">Các mâu thuẫn, rủi ro và đề xuất</x:t>
  </x:si>
  <x:si>
    <x:t xml:space="preserve">Winline quyết định</x:t>
  </x:si>
  <x:si>
    <x:t xml:space="preserve">01 – THÔNG GIÓ TỔNG THỂ / HÚT KHÍ CHUNG</x:t>
  </x:si>
  <x:si>
    <x:t xml:space="preserve">Công thức này phù hợp cho dự tính trao đổi khí toàn không gian. Không đủ để thiết kế hút bụi cục bộ, chụp hút bếp hoặc hệ thống đường ống có trở lực.</x:t>
  </x:si>
  <x:si>
    <x:t xml:space="preserve">ĐẦU VÀO NGƯỜI DÙNG</x:t>
  </x:si>
  <x:si>
    <x:t xml:space="preserve">Thông số</x:t>
  </x:si>
  <x:si>
    <x:t xml:space="preserve">Giá trị</x:t>
  </x:si>
  <x:si>
    <x:t xml:space="preserve">Chỉ tiêu</x:t>
  </x:si>
  <x:si>
    <x:t xml:space="preserve">Kết quả</x:t>
  </x:si>
  <x:si>
    <x:t xml:space="preserve">Công thức lập trình</x:t>
  </x:si>
  <x:si>
    <x:t xml:space="preserve">Diện tích không gian (m²)</x:t>
  </x:si>
  <x:si>
    <x:t xml:space="preserve">Thể tích không gian (m³)</x:t>
  </x:si>
  <x:si>
    <x:t xml:space="preserve">Diện tích × Chiều cao trung bình</x:t>
  </x:si>
  <x:si>
    <x:t xml:space="preserve">Chiều cao trung bình (m)</x:t>
  </x:si>
  <x:si>
    <x:t xml:space="preserve">Lưu lượng gió cần (m³/h)</x:t>
  </x:si>
  <x:si>
    <x:t xml:space="preserve">Thể tích × Bội số trao đổi khí</x:t>
  </x:si>
  <x:si>
    <x:t xml:space="preserve">Bội số trao đổi khí (lần/h)</x:t>
  </x:si>
  <x:si>
    <x:t xml:space="preserve">Lưu lượng 1 quạt đã chọn (m³/h)</x:t>
  </x:si>
  <x:si>
    <x:t xml:space="preserve">Lấy từ database theo SKU</x:t>
  </x:si>
  <x:si>
    <x:t xml:space="preserve">Điện áp</x:t>
  </x:si>
  <x:si>
    <x:t xml:space="preserve">380V</x:t>
  </x:si>
  <x:si>
    <x:t xml:space="preserve">Số lượng quạt – đề xuất làm tròn lên</x:t>
  </x:si>
  <x:si>
    <x:t xml:space="preserve">ROUNDUP(Lưu lượng cần / Lưu lượng 1 quạt)</x:t>
  </x:si>
  <x:si>
    <x:t xml:space="preserve">Tổng lưu lượng quạt đã chọn (m³/h)</x:t>
  </x:si>
  <x:si>
    <x:t xml:space="preserve">Lưu lượng 1 quạt × Số lượng</x:t>
  </x:si>
  <x:si>
    <x:t xml:space="preserve">KIỂM TRA SAI LỆCH VÀ QUY TẮC KẾT QUẢ</x:t>
  </x:si>
  <x:si>
    <x:t xml:space="preserve">Quy tắc chọn tối đa 6 sản phẩm</x:t>
  </x:si>
  <x:si>
    <x:t xml:space="preserve">Sai lệch lưu lượng</x:t>
  </x:si>
  <x:si>
    <x:t xml:space="preserve">1</x:t>
  </x:si>
  <x:si>
    <x:t xml:space="preserve">Đúng tab/loại quạt và điện áp.</x:t>
  </x:si>
  <x:si>
    <x:t xml:space="preserve">Ngưỡng mong muốn</x:t>
  </x:si>
  <x:si>
    <x:t xml:space="preserve">2</x:t>
  </x:si>
  <x:si>
    <x:t xml:space="preserve">Đáp ứng bộ lọc: thương hiệu, loại quạt, kích thước, khoảng giá.</x:t>
  </x:si>
  <x:si>
    <x:t xml:space="preserve">3</x:t>
  </x:si>
  <x:si>
    <x:t xml:space="preserve">Ưu tiên mức chênh lưu lượng nhỏ, số lượng hợp lý, dữ liệu đầy đủ.</x:t>
  </x:si>
  <x:si>
    <x:t xml:space="preserve">Lưu ý</x:t>
  </x:si>
  <x:si>
    <x:t xml:space="preserve">Vẫn cho phép lưu/tải/gửi khi ngoài ±5%; chỉ cảnh báo nhẹ.</x:t>
  </x:si>
  <x:si>
    <x:t xml:space="preserve">4</x:t>
  </x:si>
  <x:si>
    <x:t xml:space="preserve">Không có bộ sắp xếp do người dùng điều khiển.</x:t>
  </x:si>
  <x:si>
    <x:t xml:space="preserve">02 – LÀM MÁT ÁP SUẤT ÂM BẰNG QUẠT HÚT + COOLING PAD</x:t>
  </x:si>
  <x:si>
    <x:t xml:space="preserve">Hai bảng sản phẩm tạo thành một phương án chung: quạt hút và tấm/cụm cooling pad. Một mã lưu, một tổng tiền, một file PDF.</x:t>
  </x:si>
  <x:si>
    <x:t xml:space="preserve">ĐẦU VÀO CHUNG</x:t>
  </x:si>
  <x:si>
    <x:t xml:space="preserve">Diện tích cần làm mát (m²)</x:t>
  </x:si>
  <x:si>
    <x:t xml:space="preserve">Thể tích (m³)</x:t>
  </x:si>
  <x:si>
    <x:t xml:space="preserve">Cơ sở tính</x:t>
  </x:si>
  <x:si>
    <x:t xml:space="preserve">Diện tích × Chiều cao × Bội số</x:t>
  </x:si>
  <x:si>
    <x:t xml:space="preserve">BẢNG 1 – QUẠT HÚT ĐÃ CHỌN (MẪU TÍNH)</x:t>
  </x:si>
  <x:si>
    <x:t xml:space="preserve">SKU</x:t>
  </x:si>
  <x:si>
    <x:t xml:space="preserve">Lưu lượng 1 quạt</x:t>
  </x:si>
  <x:si>
    <x:t xml:space="preserve">Số lượng</x:t>
  </x:si>
  <x:si>
    <x:t xml:space="preserve">Tổng lưu lượng</x:t>
  </x:si>
  <x:si>
    <x:t xml:space="preserve">Sai lệch so nhu cầu</x:t>
  </x:si>
  <x:si>
    <x:t xml:space="preserve">Đơn giá tham khảo</x:t>
  </x:si>
  <x:si>
    <x:t xml:space="preserve">Thành tiền</x:t>
  </x:si>
  <x:si>
    <x:t xml:space="preserve">LF1380</x:t>
  </x:si>
  <x:si>
    <x:t xml:space="preserve">Công thức</x:t>
  </x:si>
  <x:si>
    <x:t xml:space="preserve">Website hiển thị tối đa 6 gợi ý; người dùng chọn tối đa 3 dòng. Dòng chính bù số lượng, dòng 2–3 mặc định 1.</x:t>
  </x:si>
  <x:si>
    <x:t xml:space="preserve">BẢNG 2 – DIỆN TÍCH COOLING PAD CẦN</x:t>
  </x:si>
  <x:si>
    <x:t xml:space="preserve">Trạng thái/giải thích</x:t>
  </x:si>
  <x:si>
    <x:t xml:space="preserve">Năng suất gió qua 1 m² tấm (m³/h/m²)</x:t>
  </x:si>
  <x:si>
    <x:t xml:space="preserve">Tổng lưu lượng quạt</x:t>
  </x:si>
  <x:si>
    <x:t xml:space="preserve">Diện tích theo lưu lượng yêu cầu (m²)</x:t>
  </x:si>
  <x:si>
    <x:t xml:space="preserve">Cách đang dùng trong file gốc: Lưu lượng cần / 9.000.</x:t>
  </x:si>
  <x:si>
    <x:t xml:space="preserve">Diện tích tấm dùng quy đổi</x:t>
  </x:si>
  <x:si>
    <x:t xml:space="preserve">Diện tích theo tổng lưu lượng quạt chọn (m²)</x:t>
  </x:si>
  <x:si>
    <x:t xml:space="preserve">Tiền quạt</x:t>
  </x:si>
  <x:si>
    <x:t xml:space="preserve">Diện tích dùng để quy đổi (m²)</x:t>
  </x:si>
  <x:si>
    <x:t xml:space="preserve">Tiền tấm/cụm</x:t>
  </x:si>
  <x:si>
    <x:t xml:space="preserve">Chưa có dữ liệu giá</x:t>
  </x:si>
  <x:si>
    <x:t xml:space="preserve">Chênh lệch hai cách tính</x:t>
  </x:si>
  <x:si>
    <x:t xml:space="preserve">Phát sinh do làm tròn số lượng quạt.</x:t>
  </x:si>
  <x:si>
    <x:t xml:space="preserve">Tổng giá dự tính</x:t>
  </x:si>
  <x:si>
    <x:t xml:space="preserve">Cảnh báo</x:t>
  </x:si>
  <x:si>
    <x:t xml:space="preserve">Một mã + một PDF + một email/link Zalo</x:t>
  </x:si>
  <x:si>
    <x:t xml:space="preserve">03 – QUY ĐỔI DIỆN TÍCH COOLING PAD SANG SỐ LƯỢNG</x:t>
  </x:si>
  <x:si>
    <x:t xml:space="preserve">Đầu vào</x:t>
  </x:si>
  <x:si>
    <x:t xml:space="preserve">Diện tích cooling pad cần (m²)</x:t>
  </x:si>
  <x:si>
    <x:t xml:space="preserve">Cách lấy</x:t>
  </x:si>
  <x:si>
    <x:t xml:space="preserve">Liên kết từ tổng lưu lượng quạt thực chọn</x:t>
  </x:si>
  <x:si>
    <x:t xml:space="preserve">BẢNG QUY ĐỔI – SO SÁNH KẾT QUẢ GỐC VÀ ĐỀ XUẤT</x:t>
  </x:si>
  <x:si>
    <x:t xml:space="preserve">Kích thước ghi trong file gốc</x:t>
  </x:si>
  <x:si>
    <x:t xml:space="preserve">Dài (m)</x:t>
  </x:si>
  <x:si>
    <x:t xml:space="preserve">Rộng (m)</x:t>
  </x:si>
  <x:si>
    <x:t xml:space="preserve">Số lượng file gốc</x:t>
  </x:si>
  <x:si>
    <x:t xml:space="preserve">Số lượng ROUNDUP</x:t>
  </x:si>
  <x:si>
    <x:t xml:space="preserve">Diện tích đáp ứng (m²)</x:t>
  </x:si>
  <x:si>
    <x:t xml:space="preserve">Đạt/thiếu</x:t>
  </x:si>
  <x:si>
    <x:t xml:space="preserve">1800×1500×150</x:t>
  </x:si>
  <x:si>
    <x:t xml:space="preserve">1800×1800×150</x:t>
  </x:si>
  <x:si>
    <x:t xml:space="preserve">2400×1500×150</x:t>
  </x:si>
  <x:si>
    <x:t xml:space="preserve">2400×1800×150</x:t>
  </x:si>
  <x:si>
    <x:t xml:space="preserve">3600×1500×150</x:t>
  </x:si>
  <x:si>
    <x:t xml:space="preserve">3600×1800×150</x:t>
  </x:si>
  <x:si>
    <x:t xml:space="preserve">4200×1500×150</x:t>
  </x:si>
  <x:si>
    <x:t xml:space="preserve">4200×1800×150</x:t>
  </x:si>
  <x:si>
    <x:t xml:space="preserve">Mã</x:t>
  </x:si>
  <x:si>
    <x:t xml:space="preserve">PAD-01</x:t>
  </x:si>
  <x:si>
    <x:t xml:space="preserve">PAD-02</x:t>
  </x:si>
  <x:si>
    <x:t xml:space="preserve">PAD-03</x:t>
  </x:si>
  <x:si>
    <x:t xml:space="preserve">PAD-04</x:t>
  </x:si>
  <x:si>
    <x:t xml:space="preserve">04 – SCHEMA DỮ LIỆU CHO DATABASE VÀ GIAO DIỆN</x:t>
  </x:si>
  <x:si>
    <x:t xml:space="preserve">Khung tối thiểu để công cụ, trang sản phẩm, PDF và backend dùng chung một nguồn dữ liệu.</x:t>
  </x:si>
  <x:si>
    <x:t xml:space="preserve">Trường</x:t>
  </x:si>
  <x:si>
    <x:t xml:space="preserve">Tên kỹ thuật gợi ý</x:t>
  </x:si>
  <x:si>
    <x:t xml:space="preserve">Kiểu</x:t>
  </x:si>
  <x:si>
    <x:t xml:space="preserve">Đơn vị</x:t>
  </x:si>
  <x:si>
    <x:t xml:space="preserve">Bắt buộc</x:t>
  </x:si>
  <x:si>
    <x:t xml:space="preserve">Dùng tính</x:t>
  </x:si>
  <x:si>
    <x:t xml:space="preserve">Dùng lọc</x:t>
  </x:si>
  <x:si>
    <x:t xml:space="preserve">Hiện bảng</x:t>
  </x:si>
  <x:si>
    <x:t xml:space="preserve">Nguồn</x:t>
  </x:si>
  <x:si>
    <x:t xml:space="preserve">Ghi chú</x:t>
  </x:si>
  <x:si>
    <x:t xml:space="preserve">Ảnh</x:t>
  </x:si>
  <x:si>
    <x:t xml:space="preserve">image_url</x:t>
  </x:si>
  <x:si>
    <x:t xml:space="preserve">URL</x:t>
  </x:si>
  <x:si>
    <x:t xml:space="preserve">Có</x:t>
  </x:si>
  <x:si>
    <x:t xml:space="preserve">Không</x:t>
  </x:si>
  <x:si>
    <x:t xml:space="preserve">Trang sản phẩm</x:t>
  </x:si>
  <x:si>
    <x:t xml:space="preserve">Cột riêng</x:t>
  </x:si>
  <x:si>
    <x:t xml:space="preserve">sku</x:t>
  </x:si>
  <x:si>
    <x:t xml:space="preserve">Text</x:t>
  </x:si>
  <x:si>
    <x:t xml:space="preserve">Database sản phẩm</x:t>
  </x:si>
  <x:si>
    <x:t xml:space="preserve">Có nút copy</x:t>
  </x:si>
  <x:si>
    <x:t xml:space="preserve">Tên sản phẩm</x:t>
  </x:si>
  <x:si>
    <x:t xml:space="preserve">product_name</x:t>
  </x:si>
  <x:si>
    <x:t xml:space="preserve">Tên có link</x:t>
  </x:si>
  <x:si>
    <x:t xml:space="preserve">URL chi tiết</x:t>
  </x:si>
  <x:si>
    <x:t xml:space="preserve">product_url</x:t>
  </x:si>
  <x:si>
    <x:t xml:space="preserve">Mở trang chi tiết</x:t>
  </x:si>
  <x:si>
    <x:t xml:space="preserve">Thương hiệu</x:t>
  </x:si>
  <x:si>
    <x:t xml:space="preserve">brand</x:t>
  </x:si>
  <x:si>
    <x:t xml:space="preserve">Loại quạt/sản phẩm</x:t>
  </x:si>
  <x:si>
    <x:t xml:space="preserve">product_type</x:t>
  </x:si>
  <x:si>
    <x:t xml:space="preserve">Kích thước</x:t>
  </x:si>
  <x:si>
    <x:t xml:space="preserve">size_display</x:t>
  </x:si>
  <x:si>
    <x:t xml:space="preserve">mm</x:t>
  </x:si>
  <x:si>
    <x:t xml:space="preserve">Tùy loại</x:t>
  </x:si>
  <x:si>
    <x:t xml:space="preserve">Tab phòng dùng kích thước lỗ chờ</x:t>
  </x:si>
  <x:si>
    <x:t xml:space="preserve">Kích thước lỗ</x:t>
  </x:si>
  <x:si>
    <x:t xml:space="preserve">hole_size</x:t>
  </x:si>
  <x:si>
    <x:t xml:space="preserve">Tab phòng</x:t>
  </x:si>
  <x:si>
    <x:t xml:space="preserve">voltage</x:t>
  </x:si>
  <x:si>
    <x:t xml:space="preserve">List</x:t>
  </x:si>
  <x:si>
    <x:t xml:space="preserve">V</x:t>
  </x:si>
  <x:si>
    <x:t xml:space="preserve">Điều kiện đầu vào</x:t>
  </x:si>
  <x:si>
    <x:t xml:space="preserve">Khi chưa xác định</x:t>
  </x:si>
  <x:si>
    <x:t xml:space="preserve">220V/380V</x:t>
  </x:si>
  <x:si>
    <x:t xml:space="preserve">Công suất</x:t>
  </x:si>
  <x:si>
    <x:t xml:space="preserve">power</x:t>
  </x:si>
  <x:si>
    <x:t xml:space="preserve">Number</x:t>
  </x:si>
  <x:si>
    <x:t xml:space="preserve">W</x:t>
  </x:si>
  <x:si>
    <x:t xml:space="preserve">Lưu lượng</x:t>
  </x:si>
  <x:si>
    <x:t xml:space="preserve">airflow</x:t>
  </x:si>
  <x:si>
    <x:t xml:space="preserve">m³/h</x:t>
  </x:si>
  <x:si>
    <x:t xml:space="preserve">Đơn giá</x:t>
  </x:si>
  <x:si>
    <x:t xml:space="preserve">unit_price</x:t>
  </x:si>
  <x:si>
    <x:t xml:space="preserve">VND</x:t>
  </x:si>
  <x:si>
    <x:t xml:space="preserve">Tính tổng</x:t>
  </x:si>
  <x:si>
    <x:t xml:space="preserve">Database giá</x:t>
  </x:si>
  <x:si>
    <x:t xml:space="preserve">Có thời điểm ghi nhận</x:t>
  </x:si>
  <x:si>
    <x:t xml:space="preserve">Áp dụng tab hút khí</x:t>
  </x:si>
  <x:si>
    <x:t xml:space="preserve">use_ventilation</x:t>
  </x:si>
  <x:si>
    <x:t xml:space="preserve">Boolean</x:t>
  </x:si>
  <x:si>
    <x:t xml:space="preserve">Quản trị</x:t>
  </x:si>
  <x:si>
    <x:t xml:space="preserve">Áp dụng cooling pad</x:t>
  </x:si>
  <x:si>
    <x:t xml:space="preserve">use_cooling_pad</x:t>
  </x:si>
  <x:si>
    <x:t xml:space="preserve">Diện tích tấm/cụm</x:t>
  </x:si>
  <x:si>
    <x:t xml:space="preserve">pad_area</x:t>
  </x:si>
  <x:si>
    <x:t xml:space="preserve">m²</x:t>
  </x:si>
  <x:si>
    <x:t xml:space="preserve">Với cooling pad</x:t>
  </x:si>
  <x:si>
    <x:t xml:space="preserve">Tính từ kích thước</x:t>
  </x:si>
  <x:si>
    <x:t xml:space="preserve">Độ dày tấm</x:t>
  </x:si>
  <x:si>
    <x:t xml:space="preserve">pad_thickness</x:t>
  </x:si>
  <x:si>
    <x:t xml:space="preserve">Có thể</x:t>
  </x:si>
  <x:si>
    <x:t xml:space="preserve">Tùy</x:t>
  </x:si>
  <x:si>
    <x:t xml:space="preserve">05 – BỘI SỐ TRAO ĐỔI KHÍ ĐANG CÓ TRONG FILE GỐC</x:t>
  </x:si>
  <x:si>
    <x:t xml:space="preserve">Hai bảng dưới đây không thống nhất với nhau. Chưa dùng làm dữ liệu production cho đến khi Winline chọn nguồn và phạm vi áp dụng.</x:t>
  </x:si>
  <x:si>
    <x:t xml:space="preserve">BẢNG A – ĐANG DÙNG Ở SHEET HÚT KHÓI/BỤI</x:t>
  </x:si>
  <x:si>
    <x:t xml:space="preserve">BẢNG B – “PHỤ LỤC G” TRONG FILE GỐC</x:t>
  </x:si>
  <x:si>
    <x:t xml:space="preserve">Không gian</x:t>
  </x:si>
  <x:si>
    <x:t xml:space="preserve">Bội số</x:t>
  </x:si>
  <x:si>
    <x:t xml:space="preserve">Hút khói bếp gia đình, thông gió gia đình</x:t>
  </x:si>
  <x:si>
    <x:t xml:space="preserve">Công sở</x:t>
  </x:si>
  <x:si>
    <x:t xml:space="preserve">6</x:t>
  </x:si>
  <x:si>
    <x:t xml:space="preserve">Hút khói/bụi nhà hàng, bếp nhà hàng, nhà kho ít người, cửa hàng</x:t>
  </x:si>
  <x:si>
    <x:t xml:space="preserve">Gộp nhiều nhu cầu khác nhau</x:t>
  </x:si>
  <x:si>
    <x:t xml:space="preserve">Nhà ở, phòng ngủ</x:t>
  </x:si>
  <x:si>
    <x:t xml:space="preserve">2-3</x:t>
  </x:si>
  <x:si>
    <x:t xml:space="preserve">Hút khói phòng sơn, nhà xưởng, hút nhiệt nóng cần hút mạnh</x:t>
  </x:si>
  <x:si>
    <x:t xml:space="preserve">Phòng sơn cần xem thêm quy định an toàn/chuyên ngành</x:t>
  </x:si>
  <x:si>
    <x:t xml:space="preserve">Phòng ăn khách sạn, căng tin</x:t>
  </x:si>
  <x:si>
    <x:t xml:space="preserve">10</x:t>
  </x:si>
  <x:si>
    <x:t xml:space="preserve">Hút nhiệt nóng, hút khói mức độ cao, thông đường ống, hầm</x:t>
  </x:si>
  <x:si>
    <x:t xml:space="preserve">Đường ống không thể chọn chỉ bằng ACH</x:t>
  </x:si>
  <x:si>
    <x:t xml:space="preserve">Cửa hàng, siêu thị</x:t>
  </x:si>
  <x:si>
    <x:t xml:space="preserve">Thông gió có nhiệt độ cao, đông người</x:t>
  </x:si>
  <x:si>
    <x:t xml:space="preserve">Xí nghiệp, nhà công nghiệp</x:t>
  </x:si>
  <x:si>
    <x:t xml:space="preserve">Thông gió nhà xưởng</x:t>
  </x:si>
  <x:si>
    <x:t xml:space="preserve">Khác Phụ lục G: xí nghiệp/nhà công nghiệp = 6</x:t>
  </x:si>
  <x:si>
    <x:t xml:space="preserve">Phòng học</x:t>
  </x:si>
  <x:si>
    <x:t xml:space="preserve">8</x:t>
  </x:si>
  <x:si>
    <x:t xml:space="preserve">Trại chăn nuôi</x:t>
  </x:si>
  <x:si>
    <x:t xml:space="preserve">Phòng thí nghiệm</x:t>
  </x:si>
  <x:si>
    <x:t xml:space="preserve">10-12</x:t>
  </x:si>
  <x:si>
    <x:t xml:space="preserve">Nhà màng trồng rau, hoa</x:t>
  </x:si>
  <x:si>
    <x:t xml:space="preserve">Thư viện</x:t>
  </x:si>
  <x:si>
    <x:t xml:space="preserve">5-6</x:t>
  </x:si>
  <x:si>
    <x:t xml:space="preserve">Bệnh viện</x:t>
  </x:si>
  <x:si>
    <x:t xml:space="preserve">6-8</x:t>
  </x:si>
  <x:si>
    <x:t xml:space="preserve">Mâu thuẫn/giới hạn</x:t>
  </x:si>
  <x:si>
    <x:t xml:space="preserve">AIR-01</x:t>
  </x:si>
  <x:si>
    <x:t xml:space="preserve">Thông gió nhà xưởng dùng 25 trong Bảng A nhưng xí nghiệp/nhà công nghiệp dùng 6 trong Bảng B.</x:t>
  </x:si>
  <x:si>
    <x:t xml:space="preserve">AIR-02</x:t>
  </x:si>
  <x:si>
    <x:t xml:space="preserve">Bảng A gộp hút bụi, hút khói, thông gió tổng thể, đường ống và phòng sơn trong cùng phương pháp ACH.</x:t>
  </x:si>
  <x:si>
    <x:t xml:space="preserve">Ga ra ô tô</x:t>
  </x:si>
  <x:si>
    <x:t xml:space="preserve">6*</x:t>
  </x:si>
  <x:si>
    <x:t xml:space="preserve">Trung tâm cứu hỏa</x:t>
  </x:si>
  <x:si>
    <x:t xml:space="preserve">Phòng máy bơm cấp thoát nước</x:t>
  </x:si>
  <x:si>
    <x:t xml:space="preserve">06 – BỘ TEST NGHIỆM THU LẬP TRÌNH</x:t>
  </x:si>
  <x:si>
    <x:t xml:space="preserve">Mắt Bão phải trả đúng các kết quả mẫu sau. Các test có trạng thái “Chờ chốt” chỉ chạy sau khi Winline xác nhận giả định.</x:t>
  </x:si>
  <x:si>
    <x:t xml:space="preserve">Test</x:t>
  </x:si>
  <x:si>
    <x:t xml:space="preserve">Chức năng</x:t>
  </x:si>
  <x:si>
    <x:t xml:space="preserve">Diện tích</x:t>
  </x:si>
  <x:si>
    <x:t xml:space="preserve">Chiều cao</x:t>
  </x:si>
  <x:si>
    <x:t xml:space="preserve">Lưu lượng cần</x:t>
  </x:si>
  <x:si>
    <x:t xml:space="preserve">Lưu lượng quạt / Năng suất tấm</x:t>
  </x:si>
  <x:si>
    <x:t xml:space="preserve">SL quạt / Diện tích pad</x:t>
  </x:si>
  <x:si>
    <x:t xml:space="preserve">Tổng lưu lượng / Ghi chú</x:t>
  </x:si>
  <x:si>
    <x:t xml:space="preserve">Sai lệch</x:t>
  </x:si>
  <x:si>
    <x:t xml:space="preserve">TG-01</x:t>
  </x:si>
  <x:si>
    <x:t xml:space="preserve">Thông gió tổng thể</x:t>
  </x:si>
  <x:si>
    <x:t xml:space="preserve">Đã xác định</x:t>
  </x:si>
  <x:si>
    <x:t xml:space="preserve">TG-02</x:t>
  </x:si>
  <x:si>
    <x:t xml:space="preserve">CP-01</x:t>
  </x:si>
  <x:si>
    <x:t xml:space="preserve">Quạt cooling pad</x:t>
  </x:si>
  <x:si>
    <x:t xml:space="preserve">CP-02</x:t>
  </x:si>
  <x:si>
    <x:t xml:space="preserve">Diện tích pad theo nhu cầu</x:t>
  </x:si>
  <x:si>
    <x:t xml:space="preserve">m² theo nhu cầu</x:t>
  </x:si>
  <x:si>
    <x:t xml:space="preserve">Chờ chốt cách tính</x:t>
  </x:si>
  <x:si>
    <x:t xml:space="preserve">CP-03</x:t>
  </x:si>
  <x:si>
    <x:t xml:space="preserve">Diện tích pad theo quạt chọn</x:t>
  </x:si>
  <x:si>
    <x:t xml:space="preserve">m² theo quạt chọn</x:t>
  </x:si>
  <x:si>
    <x:t xml:space="preserve">EDGE-01</x:t>
  </x:si>
  <x:si>
    <x:t xml:space="preserve">Dữ liệu bằng 0</x:t>
  </x:si>
  <x:si>
    <x:t xml:space="preserve">Không được lỗi chia 0</x:t>
  </x:si>
  <x:si>
    <x:t xml:space="preserve">07 – ĐIỂM MÂU THUẪN, CHƯA CHÍNH XÁC VÀ CẦN QUYẾT ĐỊNH</x:t>
  </x:si>
  <x:si>
    <x:t xml:space="preserve">Màu đỏ: phải sửa trước khi lập trình. Màu cam: cần Winline xác nhận. Màu xanh: đề xuất đã có cơ sở logic.</x:t>
  </x:si>
  <x:si>
    <x:t xml:space="preserve">Vấn đề</x:t>
  </x:si>
  <x:si>
    <x:t xml:space="preserve">Quan sát từ file gốc</x:t>
  </x:si>
  <x:si>
    <x:t xml:space="preserve">Rủi ro nếu lập trình nguyên trạng</x:t>
  </x:si>
  <x:si>
    <x:t xml:space="preserve">Đề xuất</x:t>
  </x:si>
  <x:si>
    <x:t xml:space="preserve">Mức độ</x:t>
  </x:si>
  <x:si>
    <x:t xml:space="preserve">Quyết định Winline</x:t>
  </x:si>
  <x:si>
    <x:t xml:space="preserve">CAL-01</x:t>
  </x:si>
  <x:si>
    <x:t xml:space="preserve">Làm tròn số lượng quạt</x:t>
  </x:si>
  <x:si>
    <x:t xml:space="preserve">Sheet hút khí dùng MROUND – làm tròn gần nhất.</x:t>
  </x:si>
  <x:si>
    <x:t xml:space="preserve">Có thể chọn thiếu công suất/lưu lượng.</x:t>
  </x:si>
  <x:si>
    <x:t xml:space="preserve">Dùng ROUNDUP/CEILING; sau đó hiển thị sai lệch ±5%.</x:t>
  </x:si>
  <x:si>
    <x:t xml:space="preserve">Sửa </x:t>
  </x:si>
  <x:si>
    <x:t xml:space="preserve">CAL-02</x:t>
  </x:si>
  <x:si>
    <x:t xml:space="preserve">Làm tròn số tấm/cụm</x:t>
  </x:si>
  <x:si>
    <x:t xml:space="preserve">Các kết quả 8/3,24=2; 8/5,4=1… bị làm tròn xuống.</x:t>
  </x:si>
  <x:si>
    <x:t xml:space="preserve">Tổng diện tích tấm nhỏ hơn nhu cầu.</x:t>
  </x:si>
  <x:si>
    <x:t xml:space="preserve">Dùng ROUNDUP; không làm tròn gần nhất.</x:t>
  </x:si>
  <x:si>
    <x:t xml:space="preserve">CAL-03</x:t>
  </x:si>
  <x:si>
    <x:t xml:space="preserve">Cơ sở tính diện tích tấm</x:t>
  </x:si>
  <x:si>
    <x:t xml:space="preserve">File tính 72.000/9.000=8 m², nhưng chọn 2×48.000=96.000 m³/h.</x:t>
  </x:si>
  <x:si>
    <x:t xml:space="preserve">Tấm có thể nhỏ so với lưu lượng quạt thực tế.</x:t>
  </x:si>
  <x:si>
    <x:t xml:space="preserve">Đề xuất lấy tổng lưu lượng quạt đã chọn / năng suất qua tấm.</x:t>
  </x:si>
  <x:si>
    <x:t xml:space="preserve">OK</x:t>
  </x:si>
  <x:si>
    <x:t xml:space="preserve">CAL-04</x:t>
  </x:si>
  <x:si>
    <x:t xml:space="preserve">Mức 9.000 m³/h/m²</x:t>
  </x:si>
  <x:si>
    <x:t xml:space="preserve">Mô tả khoảng 7.200–9.000 nhưng gọi 9.000 là “mức an toàn”.</x:t>
  </x:si>
  <x:si>
    <x:t xml:space="preserve">9.000 tạo diện tích nhỏ nhất; cách gọi có thể sai.</x:t>
  </x:si>
  <x:si>
    <x:t xml:space="preserve">Xác nhận nguồn kỹ thuật và chọn một giá trị/cho phép cấu hình.</x:t>
  </x:si>
  <x:si>
    <x:t xml:space="preserve">thực chất chỉ là cách gọi còn vẫn sử dụng mức 9000</x:t>
  </x:si>
  <x:si>
    <x:t xml:space="preserve">CAL-05</x:t>
  </x:si>
  <x:si>
    <x:t xml:space="preserve">Bội số nhà xưởng</x:t>
  </x:si>
  <x:si>
    <x:t xml:space="preserve">Một bảng dùng 25; Phụ lục G dùng 6. Cooling pad dùng 50–60.</x:t>
  </x:si>
  <x:si>
    <x:t xml:space="preserve">Kết quả có thể chênh 4–10 lần.</x:t>
  </x:si>
  <x:si>
    <x:t xml:space="preserve">Tách theo mục tiêu hệ thống và ghi nguồn/phạm vi từng bảng.</x:t>
  </x:si>
  <x:si>
    <x:t xml:space="preserve">Bội số lấy theo phụ lục G_TCVN 5687 2024, cooling pad cần lấy bội số cao do cần tạo áp suất âm hút không khí và hơi nước qua màng tấm chất lieuj bột gỗ, nên cần tốc độ gió cũng như áp suất cao</x:t>
  </x:si>
  <x:si>
    <x:t xml:space="preserve">Gộp hút bụi với thông gió</x:t>
  </x:si>
  <x:si>
    <x:t xml:space="preserve">File dùng diện tích×cao×ACH cho hút bụi, chụp hút và đường ống.</x:t>
  </x:si>
  <x:si>
    <x:t xml:space="preserve">Không phản ánh vận tốc bắt giữ và trở lực.</x:t>
  </x:si>
  <x:si>
    <x:t xml:space="preserve">Giới hạn tên tab là thông gió tổng thể/hút khí chung; trường hợp cục bộ chuyển tư vấn chuyên môn.</x:t>
  </x:si>
  <x:si>
    <x:t xml:space="preserve">Phần hút bụi cũng sử dụng theo phụ lục G và đặc thù của từng loại bụi, thông số tự động sẽ sai, phải tính theo nhu cầu</x:t>
  </x:si>
  <x:si>
    <x:t xml:space="preserve">DATA-01</x:t>
  </x:si>
  <x:si>
    <x:t xml:space="preserve">DATA-02</x:t>
  </x:si>
  <x:si>
    <x:t xml:space="preserve">Mã sản phẩm trong ví dụ</x:t>
  </x:si>
  <x:si>
    <x:t xml:space="preserve">Ví dụ dùng LF1380/40CL nhưng danh sách nguồn dùng mã nội bộ dạng số.</x:t>
  </x:si>
  <x:si>
    <x:t xml:space="preserve">Không liên kết được trang sản phẩm/database.</x:t>
  </x:si>
  <x:si>
    <x:t xml:space="preserve">Đây là tên gọi nôm na không phải mã cũng không phải tên, đúng là phải ghi nó là tên đầu đủ, đây là tên viết tắt</x:t>
  </x:si>
  <x:si>
    <x:t xml:space="preserve">UI-01</x:t>
  </x:si>
  <x:si>
    <x:t xml:space="preserve">Hai bảng cooling pad</x:t>
  </x:si>
  <x:si>
    <x:t xml:space="preserve">File gốc có quạt và quy đổi tấm nhưng chưa tích chọn/lưu chung.</x:t>
  </x:si>
  <x:si>
    <x:t xml:space="preserve">Hai kết quả rời nhau, tổng tiền/PDF không thống nhất.</x:t>
  </x:si>
  <x:si>
    <x:t xml:space="preserve">Ghép thành một bản dự tính, một mã backend, một PDF.</x:t>
  </x:si>
  <x:si>
    <x:t xml:space="preserve">Đã chốt</x:t>
  </x:si>
  <x:si>
    <x:t xml:space="preserve">Một phương án chung</x:t>
  </x:si>
  <x:si>
    <x:t xml:space="preserve">DANH SÁCH QUẠT THÔNG GIÓ VÀ LƯU LƯỢNG THAM KHẢO TẠI WINLINE.VN</x:t>
  </x:si>
  <x:si>
    <x:t xml:space="preserve">Tên</x:t>
  </x:si>
  <x:si>
    <x:t xml:space="preserve">Nhóm VTHH</x:t>
  </x:si>
  <x:si>
    <x:t xml:space="preserve">ĐVT chính</x:t>
  </x:si>
  <x:si>
    <x:t xml:space="preserve">Thời hạn BH</x:t>
  </x:si>
  <x:si>
    <x:t xml:space="preserve">Nguồn gốc</x:t>
  </x:si>
  <x:si>
    <x:t xml:space="preserve">Thông gió hút bụi</x:t>
  </x:si>
  <x:si>
    <x:t xml:space="preserve">Hệ thống làm mát áp suất âm</x:t>
  </x:si>
  <x:si>
    <x:t xml:space="preserve">Quạt vuông/tròn</x:t>
  </x:si>
  <x:si>
    <x:t xml:space="preserve">2005290</x:t>
  </x:si>
  <x:si>
    <x:t xml:space="preserve">Quạt thông gió tròn Nedfon GF(D)2-220V, Ø 20</x:t>
  </x:si>
  <x:si>
    <x:t xml:space="preserve">Quạt thông gió CN</x:t>
  </x:si>
  <x:si>
    <x:t xml:space="preserve">Cái</x:t>
  </x:si>
  <x:si>
    <x:t xml:space="preserve">12 tháng</x:t>
  </x:si>
  <x:si>
    <x:t xml:space="preserve">Nedfon</x:t>
  </x:si>
  <x:si>
    <x:t xml:space="preserve">Trung quốc</x:t>
  </x:si>
  <x:si>
    <x:t xml:space="preserve">x</x:t>
  </x:si>
  <x:si>
    <x:t xml:space="preserve">220V</x:t>
  </x:si>
  <x:si>
    <x:t xml:space="preserve">Quạt hình tròn</x:t>
  </x:si>
  <x:si>
    <x:t xml:space="preserve">2003552</x:t>
  </x:si>
  <x:si>
    <x:t xml:space="preserve">Quạt thông gió xách tay Haiki XT-20 (Tốc độ cao)-220V, Ø 20</x:t>
  </x:si>
  <x:si>
    <x:t xml:space="preserve">Haiki</x:t>
  </x:si>
  <x:si>
    <x:t xml:space="preserve">2004249</x:t>
  </x:si>
  <x:si>
    <x:t xml:space="preserve">Quạt thông gió công nghiệp tròn Gale VF25-220V, Ø 25</x:t>
  </x:si>
  <x:si>
    <x:t xml:space="preserve">Gale</x:t>
  </x:si>
  <x:si>
    <x:t xml:space="preserve">Việt nam</x:t>
  </x:si>
  <x:si>
    <x:t xml:space="preserve">2004244</x:t>
  </x:si>
  <x:si>
    <x:t xml:space="preserve">Quạt thông gió công nghiệp tròn Gale SVF25-220V, Ø 25</x:t>
  </x:si>
  <x:si>
    <x:t xml:space="preserve">2003619</x:t>
  </x:si>
  <x:si>
    <x:t xml:space="preserve">Quạt thông gió công nghiệp Haiki HK-25FA-220V, Ø 25</x:t>
  </x:si>
  <x:si>
    <x:t xml:space="preserve">2003553</x:t>
  </x:si>
  <x:si>
    <x:t xml:space="preserve">Quạt thông gió xách tay Haiki XT-25 (Tốc độ cao)-220V, Ø 25</x:t>
  </x:si>
  <x:si>
    <x:t xml:space="preserve">2005072</x:t>
  </x:si>
  <x:si>
    <x:t xml:space="preserve">Quạt thông gió công nghiệp Superlite MAX SLHCV-25-220V, Ø 25</x:t>
  </x:si>
  <x:si>
    <x:t xml:space="preserve">Superlite Max</x:t>
  </x:si>
  <x:si>
    <x:t xml:space="preserve">2002340</x:t>
  </x:si>
  <x:si>
    <x:t xml:space="preserve">Quạt thông gió công nghiệp komasu tròn KM-25T-220V, Ø 25</x:t>
  </x:si>
  <x:si>
    <x:t xml:space="preserve">Komasu</x:t>
  </x:si>
  <x:si>
    <x:t xml:space="preserve">2003352</x:t>
  </x:si>
  <x:si>
    <x:t xml:space="preserve">Quạt hút công nghiệp Panasonic FV-25GS4-220V, Ø 25</x:t>
  </x:si>
  <x:si>
    <x:t xml:space="preserve">Panasonic</x:t>
  </x:si>
  <x:si>
    <x:t xml:space="preserve">2005291</x:t>
  </x:si>
  <x:si>
    <x:t xml:space="preserve">Quạt thông gió tròn Nedfon GF(D)25-2-220V, Ø 25</x:t>
  </x:si>
  <x:si>
    <x:t xml:space="preserve">2003554</x:t>
  </x:si>
  <x:si>
    <x:t xml:space="preserve">Quạt thông gió xách tay Haiki XT-30, (Tốc độ cao)-220V, Ø 30</x:t>
  </x:si>
  <x:si>
    <x:t xml:space="preserve">2004250</x:t>
  </x:si>
  <x:si>
    <x:t xml:space="preserve">Quạt thông gió công nghiệp tròn Gale VF30-220V, Ø 30</x:t>
  </x:si>
  <x:si>
    <x:t xml:space="preserve">2005073</x:t>
  </x:si>
  <x:si>
    <x:t xml:space="preserve">Quạt thông gió công nghiệp Superlite MAX SLHCV-30-220V, Ø 30</x:t>
  </x:si>
  <x:si>
    <x:t xml:space="preserve">2002348</x:t>
  </x:si>
  <x:si>
    <x:t xml:space="preserve">Quạt thông gió công nghiệp komasu KM-30-1S-220V, Ø 30</x:t>
  </x:si>
  <x:si>
    <x:t xml:space="preserve">2002341</x:t>
  </x:si>
  <x:si>
    <x:t xml:space="preserve">Quạt thông gió công nghiệp komasu tròn KM-30T-220V, Ø 30</x:t>
  </x:si>
  <x:si>
    <x:t xml:space="preserve">2003353</x:t>
  </x:si>
  <x:si>
    <x:t xml:space="preserve">Quạt hút công nghiệp Panasonic FV-30GS4-220V, Ø 30</x:t>
  </x:si>
  <x:si>
    <x:t xml:space="preserve">2003620</x:t>
  </x:si>
  <x:si>
    <x:t xml:space="preserve">Quạt thông gió công nghiệp Haiki HK-30FA-220V, Ø 30</x:t>
  </x:si>
  <x:si>
    <x:t xml:space="preserve">2004245</x:t>
  </x:si>
  <x:si>
    <x:t xml:space="preserve">Quạt thông gió công nghiệp tròn Gale SVF30-220V, Ø 30</x:t>
  </x:si>
  <x:si>
    <x:t xml:space="preserve">2003549</x:t>
  </x:si>
  <x:si>
    <x:t xml:space="preserve">Quạt thông gió công suất cao Haiki HKS-35G điện áp 380V-380v, Ø 35</x:t>
  </x:si>
  <x:si>
    <x:t xml:space="preserve">380v</x:t>
  </x:si>
  <x:si>
    <x:t xml:space="preserve">2005292</x:t>
  </x:si>
  <x:si>
    <x:t xml:space="preserve">Quạt thông gió tròn Nedfon GF(D)35-220V, Ø 35</x:t>
  </x:si>
  <x:si>
    <x:t xml:space="preserve">2002349</x:t>
  </x:si>
  <x:si>
    <x:t xml:space="preserve">Quạt thông gió công nghiệp komasu KM-35-1S-220V, Ø 35</x:t>
  </x:si>
  <x:si>
    <x:t xml:space="preserve">2005074</x:t>
  </x:si>
  <x:si>
    <x:t xml:space="preserve">Quạt thông gió công nghiệp Superlite MAX SLHCV-35-220V, Ø 35</x:t>
  </x:si>
  <x:si>
    <x:t xml:space="preserve">2003354</x:t>
  </x:si>
  <x:si>
    <x:t xml:space="preserve">Quạt hút công nghiệp Panasonic FV-35GS4-220V, Ø 35</x:t>
  </x:si>
  <x:si>
    <x:t xml:space="preserve">2002342</x:t>
  </x:si>
  <x:si>
    <x:t xml:space="preserve">Quạt thông gió công nghiệp komasu tròn KM-35T-220V, Ø 35</x:t>
  </x:si>
  <x:si>
    <x:t xml:space="preserve">2003621</x:t>
  </x:si>
  <x:si>
    <x:t xml:space="preserve">Quạt thông gió công nghiệp Haiki HK-35FA-220V, Ø 35</x:t>
  </x:si>
  <x:si>
    <x:t xml:space="preserve">2005529</x:t>
  </x:si>
  <x:si>
    <x:t xml:space="preserve">Quạt xách tay SHT-35 (Tốc độ cao)-220V, Ø 35</x:t>
  </x:si>
  <x:si>
    <x:t xml:space="preserve">1 năm</x:t>
  </x:si>
  <x:si>
    <x:t xml:space="preserve">Omysu</x:t>
  </x:si>
  <x:si>
    <x:t xml:space="preserve">2004252</x:t>
  </x:si>
  <x:si>
    <x:t xml:space="preserve">Quạt thông gió công nghiệp tròn Gale VF40T 380V-380v, Ø 40</x:t>
  </x:si>
  <x:si>
    <x:t xml:space="preserve">2004251</x:t>
  </x:si>
  <x:si>
    <x:t xml:space="preserve">Quạt thông gió công nghiệp tròn Gale VF40-220V, Ø 40</x:t>
  </x:si>
  <x:si>
    <x:t xml:space="preserve">2005075</x:t>
  </x:si>
  <x:si>
    <x:t xml:space="preserve">Quạt thông gió công nghiệp Superlite MAX SLHCV-40-220V, Ø 40</x:t>
  </x:si>
  <x:si>
    <x:t xml:space="preserve">2002350</x:t>
  </x:si>
  <x:si>
    <x:t xml:space="preserve">Quạt thông gió công nghiệp komasu KM-40-1S-220V, Ø 40</x:t>
  </x:si>
  <x:si>
    <x:t xml:space="preserve">2002339</x:t>
  </x:si>
  <x:si>
    <x:t xml:space="preserve">Quạt thông gió công nghiệp komasu tròn KM-40T-220V, Ø 40</x:t>
  </x:si>
  <x:si>
    <x:t xml:space="preserve">2003355</x:t>
  </x:si>
  <x:si>
    <x:t xml:space="preserve">Quạt hút công nghiệp Panasonic FV-40GS4-220V, Ø 40</x:t>
  </x:si>
  <x:si>
    <x:t xml:space="preserve">2003541</x:t>
  </x:si>
  <x:si>
    <x:t xml:space="preserve">Quạt thông gió công nghiệp Haiki HKV-40CL-220V, Ø 40</x:t>
  </x:si>
  <x:si>
    <x:t xml:space="preserve">2003622</x:t>
  </x:si>
  <x:si>
    <x:t xml:space="preserve">Quạt thông gió công nghiệp Haiki HK-40FA-220V, Ø 40</x:t>
  </x:si>
  <x:si>
    <x:t xml:space="preserve">2004246</x:t>
  </x:si>
  <x:si>
    <x:t xml:space="preserve">Quạt thông gió công nghiệp tròn Gale SVF40-220V, Ø 40</x:t>
  </x:si>
  <x:si>
    <x:t xml:space="preserve">2002935</x:t>
  </x:si>
  <x:si>
    <x:t xml:space="preserve">Quạt xách tay SHT-40 (Tốc độ cao)-220V, Ø 40</x:t>
  </x:si>
  <x:si>
    <x:t xml:space="preserve">2002351</x:t>
  </x:si>
  <x:si>
    <x:t xml:space="preserve">Quạt thông gió công nghiệp komasu KM-50-1S-220V, Ø 50</x:t>
  </x:si>
  <x:si>
    <x:t xml:space="preserve">2002343</x:t>
  </x:si>
  <x:si>
    <x:t xml:space="preserve">Quạt thông gió công nghiệp komasu tròn KM-50T-220V, Ø 50</x:t>
  </x:si>
  <x:si>
    <x:t xml:space="preserve">2004254</x:t>
  </x:si>
  <x:si>
    <x:t xml:space="preserve">Quạt thông gió công nghiệp tròn Gale VF50T 380V-380v, Ø 50</x:t>
  </x:si>
  <x:si>
    <x:t xml:space="preserve">2004253</x:t>
  </x:si>
  <x:si>
    <x:t xml:space="preserve">Quạt thông gió công nghiệp tròn Gale VF50-220V, Ø 50</x:t>
  </x:si>
  <x:si>
    <x:t xml:space="preserve">2005076</x:t>
  </x:si>
  <x:si>
    <x:t xml:space="preserve">Quạt thông gió công nghiệp Superlite MAX SLHCV-50-220V, Ø 50</x:t>
  </x:si>
  <x:si>
    <x:t xml:space="preserve">2004247</x:t>
  </x:si>
  <x:si>
    <x:t xml:space="preserve">Quạt thông gió công nghiệp tròn Gale SVF50-220V, Ø 50</x:t>
  </x:si>
  <x:si>
    <x:t xml:space="preserve">2004256</x:t>
  </x:si>
  <x:si>
    <x:t xml:space="preserve">Quạt thông gió công nghiệp tròn Gale VF60T 380V-380v, Ø 60</x:t>
  </x:si>
  <x:si>
    <x:t xml:space="preserve">2004255</x:t>
  </x:si>
  <x:si>
    <x:t xml:space="preserve">Quạt thông gió công nghiệp tròn Gale VF60-220V, Ø 60</x:t>
  </x:si>
  <x:si>
    <x:t xml:space="preserve">2004248</x:t>
  </x:si>
  <x:si>
    <x:t xml:space="preserve">Quạt thông gió công nghiệp tròn Gale SVF60-220V, Ø 60</x:t>
  </x:si>
  <x:si>
    <x:t xml:space="preserve">2005077</x:t>
  </x:si>
  <x:si>
    <x:t xml:space="preserve">Quạt thông gió công nghiệp Superlite MAX SLHCV-60-220V, Ø 60</x:t>
  </x:si>
  <x:si>
    <x:t xml:space="preserve">2002955</x:t>
  </x:si>
  <x:si>
    <x:t xml:space="preserve">Quạt thông gió công nghiệp Omysu FA-60-C1-220V, Ø 60</x:t>
  </x:si>
  <x:si>
    <x:t xml:space="preserve">2002344</x:t>
  </x:si>
  <x:si>
    <x:t xml:space="preserve">Quạt thông gió công nghiệp komasu tròn KM-60T-220V, Ø 60</x:t>
  </x:si>
  <x:si>
    <x:t xml:space="preserve">2005293</x:t>
  </x:si>
  <x:si>
    <x:t xml:space="preserve">Quạt thông gió tròn Nedfon GF(D)5-220V, Ø 60</x:t>
  </x:si>
  <x:si>
    <x:t xml:space="preserve">2002337</x:t>
  </x:si>
  <x:si>
    <x:t xml:space="preserve">Quạt thông gió công nghiệp komasu KM-60-2S-220V, Ø 60</x:t>
  </x:si>
  <x:si>
    <x:t xml:space="preserve">2002338</x:t>
  </x:si>
  <x:si>
    <x:t xml:space="preserve">Quạt thông gió công nghiệp komasu KM-70-2S-220V, Ø 70</x:t>
  </x:si>
  <x:si>
    <x:t xml:space="preserve">2005047</x:t>
  </x:si>
  <x:si>
    <x:t xml:space="preserve">Quạt hút công nghiệp vuông 400x400x400_380V</x:t>
  </x:si>
  <x:si>
    <x:t xml:space="preserve">Quạt hút CN</x:t>
  </x:si>
  <x:si>
    <x:t xml:space="preserve">Quạt hình vuông</x:t>
  </x:si>
  <x:si>
    <x:t xml:space="preserve">2005048</x:t>
  </x:si>
  <x:si>
    <x:t xml:space="preserve">Quạt hút công nghiệp vuông 400x400x400_220V</x:t>
  </x:si>
  <x:si>
    <x:t xml:space="preserve">2003466</x:t>
  </x:si>
  <x:si>
    <x:t xml:space="preserve">Quạt hút công nghiệp BMF 400x400x320 220V Cánh inox</x:t>
  </x:si>
  <x:si>
    <x:t xml:space="preserve">2005027</x:t>
  </x:si>
  <x:si>
    <x:t xml:space="preserve">Quạt hút công nghiệp vuông 500x500x400 điện áp 380V</x:t>
  </x:si>
  <x:si>
    <x:t xml:space="preserve">2005028</x:t>
  </x:si>
  <x:si>
    <x:t xml:space="preserve">Quạt hút công nghiệp vuông 500x500x400 điện áp 220V</x:t>
  </x:si>
  <x:si>
    <x:t xml:space="preserve">2003592</x:t>
  </x:si>
  <x:si>
    <x:t xml:space="preserve">Quạt hút công nghiệp BMF 500x500x350 220V Cánh inox</x:t>
  </x:si>
  <x:si>
    <x:t xml:space="preserve">Panasonic Việt nam</x:t>
  </x:si>
  <x:si>
    <x:t xml:space="preserve">2005029</x:t>
  </x:si>
  <x:si>
    <x:t xml:space="preserve">Quạt hút công nghiệp vuông 600x600x400 điện áp 380V</x:t>
  </x:si>
  <x:si>
    <x:t xml:space="preserve">2005030</x:t>
  </x:si>
  <x:si>
    <x:t xml:space="preserve">Quạt hút công nghiệp vuông 600x600x400 điện áp 220V</x:t>
  </x:si>
  <x:si>
    <x:t xml:space="preserve">2004374</x:t>
  </x:si>
  <x:si>
    <x:t xml:space="preserve">Quạt hút công nghiệp BMF 600 Inox 430 toàn phần 380V</x:t>
  </x:si>
  <x:si>
    <x:t xml:space="preserve">2004583</x:t>
  </x:si>
  <x:si>
    <x:t xml:space="preserve">Quạt hút công nghiệp BMF 600 Inox 430 toàn phần 220V</x:t>
  </x:si>
  <x:si>
    <x:t xml:space="preserve">2005363</x:t>
  </x:si>
  <x:si>
    <x:t xml:space="preserve">Quạt hút công nghiệp BMF 700 Inox 430 toàn phần 380V</x:t>
  </x:si>
  <x:si>
    <x:t xml:space="preserve">2004584</x:t>
  </x:si>
  <x:si>
    <x:t xml:space="preserve">Quạt hút công nghiệp BMF 700 Inox 430 toàn phần 220V</x:t>
  </x:si>
  <x:si>
    <x:t xml:space="preserve">2003468</x:t>
  </x:si>
  <x:si>
    <x:t xml:space="preserve">Quạt hút công nghiệp BMF 600x600x400 Cánh inox_380V</x:t>
  </x:si>
  <x:si>
    <x:t xml:space="preserve">2005623</x:t>
  </x:si>
  <x:si>
    <x:t xml:space="preserve">Quạt hút công nghiệp BMF 600x600x400 Cánh inox_220V</x:t>
  </x:si>
  <x:si>
    <x:t xml:space="preserve">2005031</x:t>
  </x:si>
  <x:si>
    <x:t xml:space="preserve">Quạt hút công nghiệp vuông 700x700x400 điện áp 380V</x:t>
  </x:si>
  <x:si>
    <x:t xml:space="preserve">2005032</x:t>
  </x:si>
  <x:si>
    <x:t xml:space="preserve">Quạt hút công nghiệp vuông 700x700x400 điện áp 220V</x:t>
  </x:si>
  <x:si>
    <x:t xml:space="preserve">2003500</x:t>
  </x:si>
  <x:si>
    <x:t xml:space="preserve">Quạt hút công nghiệp BMF 700x700x400 Cánh inox_380V</x:t>
  </x:si>
  <x:si>
    <x:t xml:space="preserve">2005624</x:t>
  </x:si>
  <x:si>
    <x:t xml:space="preserve">Quạt hút công nghiệp BMF 700x700x400 Cánh inox_220V</x:t>
  </x:si>
  <x:si>
    <x:t xml:space="preserve">2005033</x:t>
  </x:si>
  <x:si>
    <x:t xml:space="preserve">Quạt hút công nghiệp vuông 800x800x400_380V</x:t>
  </x:si>
  <x:si>
    <x:t xml:space="preserve">2004654</x:t>
  </x:si>
  <x:si>
    <x:t xml:space="preserve">Quạt hút công nghiệp vuông 800x800x400 điện áp 220V</x:t>
  </x:si>
  <x:si>
    <x:t xml:space="preserve">2003474</x:t>
  </x:si>
  <x:si>
    <x:t xml:space="preserve">Quạt hút công nghiệp BMF 800x800x400 Cánh inox_380V</x:t>
  </x:si>
  <x:si>
    <x:t xml:space="preserve">2005625</x:t>
  </x:si>
  <x:si>
    <x:t xml:space="preserve">Quạt hút công nghiệp BMF 800x800x400 Cánh inox_220V</x:t>
  </x:si>
  <x:si>
    <x:t xml:space="preserve">2005362</x:t>
  </x:si>
  <x:si>
    <x:t xml:space="preserve">Quạt hút công nghiệp BMF 800  Inox 430 toàn phần 380V</x:t>
  </x:si>
  <x:si>
    <x:t xml:space="preserve">2004585</x:t>
  </x:si>
  <x:si>
    <x:t xml:space="preserve">Quạt hút công nghiệp BMF 800  Inox 430 toàn phần 220V</x:t>
  </x:si>
  <x:si>
    <x:t xml:space="preserve">2005035</x:t>
  </x:si>
  <x:si>
    <x:t xml:space="preserve">Quạt hút công nghiệp vuông 900x900x400 điện áp 380V</x:t>
  </x:si>
  <x:si>
    <x:t xml:space="preserve">2005034</x:t>
  </x:si>
  <x:si>
    <x:t xml:space="preserve">Quạt hút công nghiệp vuông 900x900x400 điện áp 220V</x:t>
  </x:si>
  <x:si>
    <x:t xml:space="preserve">2003472</x:t>
  </x:si>
  <x:si>
    <x:t xml:space="preserve">Quạt hút công nghiệp BMF 900x900x400 Cánh inox_380V</x:t>
  </x:si>
  <x:si>
    <x:t xml:space="preserve">2005626</x:t>
  </x:si>
  <x:si>
    <x:t xml:space="preserve">Quạt hút công nghiệp BMF 900x900x400 Cánh inox_220V</x:t>
  </x:si>
  <x:si>
    <x:t xml:space="preserve">2005272</x:t>
  </x:si>
  <x:si>
    <x:t xml:space="preserve">Quạt hút công nghiệp BMF 900x900x400  inox 304 toàn phần_380V</x:t>
  </x:si>
  <x:si>
    <x:t xml:space="preserve">2004359</x:t>
  </x:si>
  <x:si>
    <x:t xml:space="preserve">Quạt hút công nghiệp BMF 900STD khung sơn tĩnh điện cánh inox_380V</x:t>
  </x:si>
  <x:si>
    <x:t xml:space="preserve">2004369</x:t>
  </x:si>
  <x:si>
    <x:t xml:space="preserve">Quạt hút công nghiệp BMF 900STD khung sơn tĩnh điện cánh inox_220V</x:t>
  </x:si>
  <x:si>
    <x:t xml:space="preserve">2005361</x:t>
  </x:si>
  <x:si>
    <x:t xml:space="preserve">Quạt hút công nghiệp BMF 900P Khung mạ kẽm cánh POM_380V</x:t>
  </x:si>
  <x:si>
    <x:t xml:space="preserve">2004361</x:t>
  </x:si>
  <x:si>
    <x:t xml:space="preserve">Quạt hút công nghiệp BMF 900P Khung mạ kẽm cánh POM_220V</x:t>
  </x:si>
  <x:si>
    <x:t xml:space="preserve">2004365</x:t>
  </x:si>
  <x:si>
    <x:t xml:space="preserve">Quạt hút công nghiệp BMF 900 Inox 430 toàn phần 380V</x:t>
  </x:si>
  <x:si>
    <x:t xml:space="preserve">2004586</x:t>
  </x:si>
  <x:si>
    <x:t xml:space="preserve">Quạt hút công nghiệp BMF 900 Inox 430 toàn phần 220V</x:t>
  </x:si>
  <x:si>
    <x:t xml:space="preserve">2004203</x:t>
  </x:si>
  <x:si>
    <x:t xml:space="preserve">Quạt hút công nghiệp BMF 900  inox 304 toàn phần_220V</x:t>
  </x:si>
  <x:si>
    <x:t xml:space="preserve">2004358</x:t>
  </x:si>
  <x:si>
    <x:t xml:space="preserve">Quạt hút công nghiệp BMF 1000 cánh inox_380V</x:t>
  </x:si>
  <x:si>
    <x:t xml:space="preserve">2004373</x:t>
  </x:si>
  <x:si>
    <x:t xml:space="preserve">Quạt hút công nghiệp BMF 1000 cánh inox_220V</x:t>
  </x:si>
  <x:si>
    <x:t xml:space="preserve">2005036</x:t>
  </x:si>
  <x:si>
    <x:t xml:space="preserve">Quạt hút công nghiệp vuông 1100x1100x400_380V</x:t>
  </x:si>
  <x:si>
    <x:t xml:space="preserve">2005037</x:t>
  </x:si>
  <x:si>
    <x:t xml:space="preserve">Quạt hút công nghiệp vuông 1100x1100x400 điện áp 220V</x:t>
  </x:si>
  <x:si>
    <x:t xml:space="preserve">2003471</x:t>
  </x:si>
  <x:si>
    <x:t xml:space="preserve">Quạt hút công nghiệp BMF 1100x1100x400 Cánh inox_380V</x:t>
  </x:si>
  <x:si>
    <x:t xml:space="preserve">2005627</x:t>
  </x:si>
  <x:si>
    <x:t xml:space="preserve">Quạt hút công nghiệp BMF 1100x1100x400 Cánh inox_220V</x:t>
  </x:si>
  <x:si>
    <x:t xml:space="preserve">2005271</x:t>
  </x:si>
  <x:si>
    <x:t xml:space="preserve">Quạt hút công nghiệp BMF 1100x1100x400  inox 304 toàn phần_380V</x:t>
  </x:si>
  <x:si>
    <x:t xml:space="preserve">2004357</x:t>
  </x:si>
  <x:si>
    <x:t xml:space="preserve">Quạt hút công nghiệp BMF 1100STD khung sơn tĩnh điện cánh inox_380V</x:t>
  </x:si>
  <x:si>
    <x:t xml:space="preserve">2004370</x:t>
  </x:si>
  <x:si>
    <x:t xml:space="preserve">Quạt hút công nghiệp BMF 1100STD khung sơn tĩnh điện cánh inox_220V</x:t>
  </x:si>
  <x:si>
    <x:t xml:space="preserve">2005355</x:t>
  </x:si>
  <x:si>
    <x:t xml:space="preserve">Quạt hút công nghiệp BMF 1100PA Hiệu suất cao Cánh PA_380V</x:t>
  </x:si>
  <x:si>
    <x:t xml:space="preserve">2005360</x:t>
  </x:si>
  <x:si>
    <x:t xml:space="preserve">Quạt hút công nghiệp BMF 1100P Khung mạ kẽm cánh POM_380V</x:t>
  </x:si>
  <x:si>
    <x:t xml:space="preserve">2004362</x:t>
  </x:si>
  <x:si>
    <x:t xml:space="preserve">Quạt hút công nghiệp BMF 1100P Khung mạ kẽm cánh POM_220V</x:t>
  </x:si>
  <x:si>
    <x:t xml:space="preserve">2005364</x:t>
  </x:si>
  <x:si>
    <x:t xml:space="preserve">Quạt hút công nghiệp BMF 1100 Inox 430 toàn phần 380V</x:t>
  </x:si>
  <x:si>
    <x:t xml:space="preserve">2004580</x:t>
  </x:si>
  <x:si>
    <x:t xml:space="preserve">Quạt hút công nghiệp BMF 1100 Inox 430 toàn phần 220V</x:t>
  </x:si>
  <x:si>
    <x:t xml:space="preserve">2004205</x:t>
  </x:si>
  <x:si>
    <x:t xml:space="preserve">Quạt hút công nghiệp BMF 1100  inox 304 toàn phần_220V</x:t>
  </x:si>
  <x:si>
    <x:t xml:space="preserve">2005038</x:t>
  </x:si>
  <x:si>
    <x:t xml:space="preserve">Quạt hút công nghiệp vuông 1220x1220x400_380V</x:t>
  </x:si>
  <x:si>
    <x:t xml:space="preserve">2005039</x:t>
  </x:si>
  <x:si>
    <x:t xml:space="preserve">Quạt hút công nghiệp vuông 1220x1220x400 điện áp 220V</x:t>
  </x:si>
  <x:si>
    <x:t xml:space="preserve">2005270</x:t>
  </x:si>
  <x:si>
    <x:t xml:space="preserve">Quạt hút công nghiệp BMF 1220x1220x400 inox 304 toàn phần_380V</x:t>
  </x:si>
  <x:si>
    <x:t xml:space="preserve">2003470</x:t>
  </x:si>
  <x:si>
    <x:t xml:space="preserve">Quạt hút công nghiệp BMF 1220x1220x400 Cánh inox_380V</x:t>
  </x:si>
  <x:si>
    <x:t xml:space="preserve">2005628</x:t>
  </x:si>
  <x:si>
    <x:t xml:space="preserve">Quạt hút công nghiệp BMF 1220x1220x400 Cánh inox_220V</x:t>
  </x:si>
  <x:si>
    <x:t xml:space="preserve">2004356</x:t>
  </x:si>
  <x:si>
    <x:t xml:space="preserve">Quạt hút công nghiệp BMF 1220STD khung sơn tĩnh điện cánh inox_380V</x:t>
  </x:si>
  <x:si>
    <x:t xml:space="preserve">2004371</x:t>
  </x:si>
  <x:si>
    <x:t xml:space="preserve">Quạt hút công nghiệp BMF 1220STD khung sơn tĩnh điện cánh inox_220V</x:t>
  </x:si>
  <x:si>
    <x:t xml:space="preserve">2005356</x:t>
  </x:si>
  <x:si>
    <x:t xml:space="preserve">Quạt hút công nghiệp BMF 1220PA Hiệu suất cao Cánh PA_380V</x:t>
  </x:si>
  <x:si>
    <x:t xml:space="preserve">2005359</x:t>
  </x:si>
  <x:si>
    <x:t xml:space="preserve">Quạt hút công nghiệp BMF 1220P Khung mạ kẽm cánh POM_380V</x:t>
  </x:si>
  <x:si>
    <x:t xml:space="preserve">2004363</x:t>
  </x:si>
  <x:si>
    <x:t xml:space="preserve">Quạt hút công nghiệp BMF 1220P Khung mạ kẽm cánh POM_220V</x:t>
  </x:si>
  <x:si>
    <x:t xml:space="preserve">2004367</x:t>
  </x:si>
  <x:si>
    <x:t xml:space="preserve">Quạt hút công nghiệp BMF 1220 Inox 430 toàn phần 380V</x:t>
  </x:si>
  <x:si>
    <x:t xml:space="preserve">2004581</x:t>
  </x:si>
  <x:si>
    <x:t xml:space="preserve">Quạt hút công nghiệp BMF 1220 Inox 430 toàn phần 220V</x:t>
  </x:si>
  <x:si>
    <x:t xml:space="preserve">2004206</x:t>
  </x:si>
  <x:si>
    <x:t xml:space="preserve">Quạt hút công nghiệp BMF 1220  inox 304 toàn phần_220V</x:t>
  </x:si>
  <x:si>
    <x:t xml:space="preserve">2004622</x:t>
  </x:si>
  <x:si>
    <x:t xml:space="preserve">Quạt hút công nghiệp SHRV 1380x1380x400 inox 380V</x:t>
  </x:si>
  <x:si>
    <x:t xml:space="preserve">2003469</x:t>
  </x:si>
  <x:si>
    <x:t xml:space="preserve">Quạt hút công nghiệp BMF 1380x1380x400 Cánh inox_380V</x:t>
  </x:si>
  <x:si>
    <x:t xml:space="preserve">2005629</x:t>
  </x:si>
  <x:si>
    <x:t xml:space="preserve">Quạt hút công nghiệp BMF 1380x1380x400 Cánh inox_220V</x:t>
  </x:si>
  <x:si>
    <x:t xml:space="preserve">2003473</x:t>
  </x:si>
  <x:si>
    <x:t xml:space="preserve">Quạt hút công nghiệp BMF 1380x1380x400  inox 304 toàn phần_380V</x:t>
  </x:si>
  <x:si>
    <x:t xml:space="preserve">2004355</x:t>
  </x:si>
  <x:si>
    <x:t xml:space="preserve">Quạt hút công nghiệp BMF 1380STD khung sơn tĩnh điện cánh inox_380V</x:t>
  </x:si>
  <x:si>
    <x:t xml:space="preserve">2004372</x:t>
  </x:si>
  <x:si>
    <x:t xml:space="preserve">Quạt hút công nghiệp BMF 1380STD khung sơn tĩnh điện cánh inox_220V</x:t>
  </x:si>
  <x:si>
    <x:t xml:space="preserve">2005357</x:t>
  </x:si>
  <x:si>
    <x:t xml:space="preserve">Quạt hút công nghiệp BMF 1380PA Hiệu suất cao Cánh PA_380V</x:t>
  </x:si>
  <x:si>
    <x:t xml:space="preserve">2005358</x:t>
  </x:si>
  <x:si>
    <x:t xml:space="preserve">Quạt hút công nghiệp BMF 1380P Khung mạ kẽm cánh POM_380V</x:t>
  </x:si>
  <x:si>
    <x:t xml:space="preserve">2004364</x:t>
  </x:si>
  <x:si>
    <x:t xml:space="preserve">Quạt hút công nghiệp BMF 1380P Khung mạ kẽm cánh POM_220V</x:t>
  </x:si>
  <x:si>
    <x:t xml:space="preserve">2004368</x:t>
  </x:si>
  <x:si>
    <x:t xml:space="preserve">Quạt hút công nghiệp BMF 1380 Inox 430 toàn phần 380V</x:t>
  </x:si>
  <x:si>
    <x:t xml:space="preserve">2004582</x:t>
  </x:si>
  <x:si>
    <x:t xml:space="preserve">Quạt hút công nghiệp BMF 1380 Inox 430 toàn phần 220V</x:t>
  </x:si>
  <x:si>
    <x:t xml:space="preserve">2004207</x:t>
  </x:si>
  <x:si>
    <x:t xml:space="preserve">Quạt hút công nghiệp BMF 1380  inox 304 toàn phần_220V</x:t>
  </x:si>
  <x:si>
    <x:t xml:space="preserve">2005040</x:t>
  </x:si>
  <x:si>
    <x:t xml:space="preserve">Quạt hút công nghiệp vuông 1380x1380x400 điện áp 380v</x:t>
  </x:si>
  <x:si>
    <x:t xml:space="preserve">2005041</x:t>
  </x:si>
  <x:si>
    <x:t xml:space="preserve">Quạt hút công nghiệp vuông 1380x1380x400 điện áp 220V</x:t>
  </x:si>
  <x:si>
    <x:t xml:space="preserve">2004315</x:t>
  </x:si>
  <x:si>
    <x:t xml:space="preserve">Tấm làm mát nâu 2000x600x150mm</x:t>
  </x:si>
  <x:si>
    <x:t xml:space="preserve">Làm mát CN</x:t>
  </x:si>
  <x:si>
    <x:t xml:space="preserve">Tấm</x:t>
  </x:si>
  <x:si>
    <x:t xml:space="preserve">2004052</x:t>
  </x:si>
  <x:si>
    <x:t xml:space="preserve">Tấm làm mát nâu 1800x600x150mm</x:t>
  </x:si>
  <x:si>
    <x:t xml:space="preserve">2004053</x:t>
  </x:si>
  <x:si>
    <x:t xml:space="preserve">Tấm làm mát nâu 1500x600x150mm</x:t>
  </x:si>
  <x:si>
    <x:t xml:space="preserve">2005144</x:t>
  </x:si>
  <x:si>
    <x:t xml:space="preserve">Tấm làm mát chống rêu 2000x600x150mm</x:t>
  </x:si>
  <x:si>
    <x:t xml:space="preserve">2003854</x:t>
  </x:si>
  <x:si>
    <x:t xml:space="preserve">Tấm làm mát chống rêu 1800x600x150mm</x:t>
  </x:si>
  <x:si>
    <x:t xml:space="preserve">2003864</x:t>
  </x:si>
  <x:si>
    <x:t xml:space="preserve">Tấm làm mát chống rêu 1500x600x150mm</x:t>
  </x:si>
  <x:si>
    <x:t xml:space="preserve">2004055</x:t>
  </x:si>
  <x:si>
    <x:t xml:space="preserve">Khung tấm làm mát nhôm 3m</x:t>
  </x:si>
  <x:si>
    <x:t xml:space="preserve">No brand</x:t>
  </x:si>
  <x:si>
    <x:t xml:space="preserve">2004056</x:t>
  </x:si>
  <x:si>
    <x:t xml:space="preserve">Khung tấm làm mát nhôm 36m</x:t>
  </x:si>
  <x:si>
    <x:t xml:space="preserve">2004106</x:t>
  </x:si>
  <x:si>
    <x:t xml:space="preserve">Khung Inox 304_4200x1800x150 dầy 08mm</x:t>
  </x:si>
  <x:si>
    <x:t xml:space="preserve">2004100</x:t>
  </x:si>
  <x:si>
    <x:t xml:space="preserve">Khung Inox 304_4200x1500x150 dầy 08mm</x:t>
  </x:si>
  <x:si>
    <x:t xml:space="preserve">2004105</x:t>
  </x:si>
  <x:si>
    <x:t xml:space="preserve">Khung Inox 304_3600x1800x150 dầy 08mm</x:t>
  </x:si>
  <x:si>
    <x:t xml:space="preserve">2004099</x:t>
  </x:si>
  <x:si>
    <x:t xml:space="preserve">Khung Inox 304_3600x1500x150 dầy 08mm</x:t>
  </x:si>
  <x:si>
    <x:t xml:space="preserve">2004104</x:t>
  </x:si>
  <x:si>
    <x:t xml:space="preserve">Khung Inox 304_3000x1800x150 dầy 08mm</x:t>
  </x:si>
  <x:si>
    <x:t xml:space="preserve">2004098</x:t>
  </x:si>
  <x:si>
    <x:t xml:space="preserve">Khung Inox 304_3000x1500x150 dầy 08mm</x:t>
  </x:si>
  <x:si>
    <x:t xml:space="preserve">2004103</x:t>
  </x:si>
  <x:si>
    <x:t xml:space="preserve">Khung Inox 304_2400x1800x150 dầy 08mm</x:t>
  </x:si>
  <x:si>
    <x:t xml:space="preserve">2004097</x:t>
  </x:si>
  <x:si>
    <x:t xml:space="preserve">Khung Inox 304_2400x1500x150 dầy 08mm</x:t>
  </x:si>
  <x:si>
    <x:t xml:space="preserve">2004102</x:t>
  </x:si>
  <x:si>
    <x:t xml:space="preserve">Khung Inox 304_1800x1800x150 dầy 08mm</x:t>
  </x:si>
  <x:si>
    <x:t xml:space="preserve">2004101</x:t>
  </x:si>
  <x:si>
    <x:t xml:space="preserve">Khung Inox 304_1800x1800x150 dầy 06mm</x:t>
  </x:si>
  <x:si>
    <x:t xml:space="preserve">2004096</x:t>
  </x:si>
  <x:si>
    <x:t xml:space="preserve">Khung Inox 304_1800x1500x150 dầy 08mm</x:t>
  </x:si>
  <x:si>
    <x:t xml:space="preserve">2004095</x:t>
  </x:si>
  <x:si>
    <x:t xml:space="preserve">Khung Inox 304_1800x1500x150 dầy 06mm</x:t>
  </x:si>
  <x:si>
    <x:t xml:space="preserve">2002646</x:t>
  </x:si>
  <x:si>
    <x:t xml:space="preserve">Khung Inox 201_4800x1800x150 dầy 08mm</x:t>
  </x:si>
  <x:si>
    <x:t xml:space="preserve">2004094</x:t>
  </x:si>
  <x:si>
    <x:t xml:space="preserve">Khung Inox 201_4200x1800x150 dầy 08mm</x:t>
  </x:si>
  <x:si>
    <x:t xml:space="preserve">2004088</x:t>
  </x:si>
  <x:si>
    <x:t xml:space="preserve">Khung Inox 201_4200x1500x150 dầy 08mm</x:t>
  </x:si>
  <x:si>
    <x:t xml:space="preserve">2004093</x:t>
  </x:si>
  <x:si>
    <x:t xml:space="preserve">Khung Inox 201_3600x1800x150 dầy 08mm</x:t>
  </x:si>
  <x:si>
    <x:t xml:space="preserve">2004087</x:t>
  </x:si>
  <x:si>
    <x:t xml:space="preserve">Khung Inox 201_3600x1500x150 dầy 08mm</x:t>
  </x:si>
  <x:si>
    <x:t xml:space="preserve">2004092</x:t>
  </x:si>
  <x:si>
    <x:t xml:space="preserve">Khung Inox 201_3000x1800x150 dầy 08mm</x:t>
  </x:si>
  <x:si>
    <x:t xml:space="preserve">2004086</x:t>
  </x:si>
  <x:si>
    <x:t xml:space="preserve">Khung Inox 201_3000x1500x150 dầy 08mm</x:t>
  </x:si>
  <x:si>
    <x:t xml:space="preserve">2004091</x:t>
  </x:si>
  <x:si>
    <x:t xml:space="preserve">Khung Inox 201_2400x1800x150 dầy 08mm</x:t>
  </x:si>
  <x:si>
    <x:t xml:space="preserve">2004085</x:t>
  </x:si>
  <x:si>
    <x:t xml:space="preserve">Khung Inox 201_2400x1500x150 dầy 08mm</x:t>
  </x:si>
  <x:si>
    <x:t xml:space="preserve">2002947</x:t>
  </x:si>
  <x:si>
    <x:t xml:space="preserve">Khung Inox 201_1800x1800x150 dầy 08mm</x:t>
  </x:si>
  <x:si>
    <x:t xml:space="preserve">2004090</x:t>
  </x:si>
  <x:si>
    <x:t xml:space="preserve">2004089</x:t>
  </x:si>
  <x:si>
    <x:t xml:space="preserve">Khung Inox 201_1800x1800x150 dầy 06mm</x:t>
  </x:si>
  <x:si>
    <x:t xml:space="preserve">2004084</x:t>
  </x:si>
  <x:si>
    <x:t xml:space="preserve">Khung Inox 201_1800x1500x150 dầy 08mm</x:t>
  </x:si>
  <x:si>
    <x:t xml:space="preserve">2004054</x:t>
  </x:si>
  <x:si>
    <x:t xml:space="preserve">Khung inox 201_1800x1500x150 dầy 06mm</x:t>
  </x:si>
  <x:si>
    <x:t xml:space="preserve">Phụ lục G- TCVN 5687 về Thông gió, Bội số trao đổi không khí</x:t>
  </x:si>
  <x:si>
    <x:t xml:space="preserve">(Quy định)</x:t>
  </x:si>
  <x:si>
    <x:t xml:space="preserve">Lưu lượng không khí ngoài (gió tươi) cho các phòng được thông gió cơ khí</x:t>
  </x:si>
  <x:si>
    <x:t xml:space="preserve">Loại phòng, công trình</x:t>
  </x:si>
  <x:si>
    <x:t xml:space="preserve">Số lần (bội số) trao đổi không khí, lần/h</x:t>
  </x:si>
  <x:si>
    <x:t xml:space="preserve">Nhà hát, rạp chiếu bóng</x:t>
  </x:si>
  <x:si>
    <x:t xml:space="preserve">Sảnh, hành lang, cầu thang, lối ra**</x:t>
  </x:si>
  <x:si>
    <x:t xml:space="preserve">Phòng tắm, phòng vệ sinh</x:t>
  </x:si>
  <x:si>
    <x:t xml:space="preserve">Phòng bếp (thương nghiệp, ký túc xá, xí nghiệp)</x:t>
  </x:si>
  <x:si>
    <x:t xml:space="preserve">20</x:t>
  </x:si>
  <x:si>
    <x:t xml:space="preserve">* Áp dụng đối với chiều cao phòng 2,5 m. Khi chiều cao phòng trên 2,5 m, phải tính theo tỷ lệ tăng của chiều cao;</x:t>
  </x:si>
  <x:si>
    <x:t xml:space="preserve">** Sảnh có diện tích dưới 10 m² không đòi hỏi phải có thông gió cơ khí.</x:t>
  </x:si>
  <x:si>
    <x:t xml:space="preserve">Đối với phòng trong tầng hầm, bội số trao đổi không khí có thể tăng thêm từ 20 % đến 50 %.</x:t>
  </x:si>
</x:sst>
</file>

<file path=xl/styles.xml><?xml version="1.0" encoding="utf-8"?>
<x:styleSheet xmlns:x="http://schemas.openxmlformats.org/spreadsheetml/2006/main">
  <x:numFmts count="1">
    <x:numFmt numFmtId="164" formatCode="0.0%"/>
  </x:numFmts>
  <x:fonts count="9">
    <x:font>
      <x:sz val="11"/>
      <x:name val="Carlito"/>
    </x:font>
    <x:font>
      <x:b/>
      <x:sz val="16"/>
      <x:color rgb="FFFFFFFF"/>
      <x:name val="Carlito"/>
    </x:font>
    <x:font>
      <x:i/>
      <x:sz val="10"/>
      <x:color rgb="FF1F2937"/>
      <x:name val="Carlito"/>
    </x:font>
    <x:font>
      <x:b/>
      <x:sz val="11"/>
      <x:color rgb="FFFFFFFF"/>
      <x:name val="Carlito"/>
    </x:font>
    <x:font>
      <x:b/>
      <x:sz val="11"/>
      <x:color rgb="FF0070C0"/>
      <x:name val="Carlito"/>
    </x:font>
    <x:font>
      <x:b/>
      <x:sz val="11"/>
      <x:color rgb="FF548235"/>
      <x:name val="Carlito"/>
    </x:font>
    <x:font>
      <x:b/>
      <x:sz val="11"/>
      <x:color rgb="FF9C0006"/>
      <x:name val="Carlito"/>
    </x:font>
    <x:font>
      <x:b/>
      <x:sz val="11"/>
      <x:color rgb="FF1F2937"/>
      <x:name val="Carlito"/>
    </x:font>
    <x:font>
      <x:sz val="11"/>
      <x:name val="Carlito"/>
    </x:font>
  </x:fonts>
  <x:fills count="11">
    <x:fill>
      <x:patternFill patternType="none"/>
    </x:fill>
    <x:fill>
      <x:patternFill patternType="gray125"/>
    </x:fill>
    <x:fill>
      <x:patternFill patternType="solid">
        <x:fgColor rgb="FF17365D"/>
      </x:patternFill>
    </x:fill>
    <x:fill>
      <x:patternFill patternType="solid">
        <x:fgColor rgb="FFDDEBF7"/>
      </x:patternFill>
    </x:fill>
    <x:fill>
      <x:patternFill patternType="solid">
        <x:fgColor rgb="FF1F4E78"/>
      </x:patternFill>
    </x:fill>
    <x:fill>
      <x:patternFill patternType="solid">
        <x:fgColor rgb="FFFFF2CC"/>
      </x:patternFill>
    </x:fill>
    <x:fill>
      <x:patternFill patternType="solid">
        <x:fgColor rgb="FFE2F0D9"/>
      </x:patternFill>
    </x:fill>
    <x:fill>
      <x:patternFill patternType="solid">
        <x:fgColor rgb="FFF7F9FC"/>
      </x:patternFill>
    </x:fill>
    <x:fill>
      <x:patternFill patternType="solid">
        <x:fgColor rgb="FFFCE4D6"/>
      </x:patternFill>
    </x:fill>
    <x:fill>
      <x:patternFill patternType="solid">
        <x:fgColor rgb="FF0F6B78"/>
      </x:patternFill>
    </x:fill>
    <x:fill>
      <x:patternFill patternType="solid">
        <x:fgColor rgb="FFE7E6E6"/>
      </x:patternFill>
    </x:fill>
  </x:fills>
  <x:borders count="8">
    <x:border/>
    <x:border>
      <x:left style="thin">
        <x:color rgb="FFB4C7E7"/>
      </x:left>
      <x:right style="thin">
        <x:color rgb="FFB4C7E7"/>
      </x:right>
      <x:top style="thin">
        <x:color rgb="FFB4C7E7"/>
      </x:top>
      <x:bottom style="thin">
        <x:color rgb="FFB4C7E7"/>
      </x:bottom>
    </x:border>
    <x:border>
      <x:left style="thin">
        <x:color rgb="FFB7C9DA"/>
      </x:left>
      <x:right style="thin">
        <x:color rgb="FFB7C9DA"/>
      </x:right>
      <x:top style="thin">
        <x:color rgb="FFB7C9DA"/>
      </x:top>
      <x:bottom style="thin">
        <x:color rgb="FFB7C9DA"/>
      </x:bottom>
    </x:border>
    <x:border>
      <x:left style="thin">
        <x:color rgb="FFD9E2F3"/>
      </x:left>
      <x:right style="thin">
        <x:color rgb="FFD9E2F3"/>
      </x:right>
      <x:top style="thin">
        <x:color rgb="FFD9E2F3"/>
      </x:top>
      <x:bottom style="thin">
        <x:color rgb="FFD9E2F3"/>
      </x:bottom>
    </x:border>
    <x:border>
      <x:top style="thin">
        <x:color rgb="FFB4C7E7"/>
      </x:top>
      <x:bottom style="thin">
        <x:color rgb="FFB4C7E7"/>
      </x:bottom>
    </x:border>
    <x:border>
      <x:right style="thin">
        <x:color rgb="FFB4C7E7"/>
      </x:right>
      <x:top style="thin">
        <x:color rgb="FFB4C7E7"/>
      </x:top>
      <x:bottom style="thin">
        <x:color rgb="FFB4C7E7"/>
      </x:bottom>
    </x:border>
    <x:border>
      <x:top style="thin">
        <x:color rgb="FFB7C9DA"/>
      </x:top>
      <x:bottom style="thin">
        <x:color rgb="FFB7C9DA"/>
      </x:bottom>
    </x:border>
    <x:border>
      <x:right style="thin">
        <x:color rgb="FFB7C9DA"/>
      </x:right>
      <x:top style="thin">
        <x:color rgb="FFB7C9DA"/>
      </x:top>
      <x:bottom style="thin">
        <x:color rgb="FFB7C9DA"/>
      </x:bottom>
    </x:border>
  </x:borders>
  <x:cellStyleXfs count="2">
    <x:xf numFmtId="0" fontId="0" fillId="0" borderId="0"/>
    <x:xf numFmtId="0" fontId="8" fillId="0" borderId="0"/>
  </x:cellStyleXfs>
  <x:cellXfs count="39">
    <x:xf numFmtId="0" fontId="0" fillId="0" borderId="0" xfId="0"/>
    <x:xf numFmtId="0" fontId="3" fillId="4" borderId="1" xfId="1" applyFont="1" applyFill="1" applyBorder="1" applyAlignment="1">
      <x:alignment vertical="center" wrapText="1"/>
    </x:xf>
    <x:xf numFmtId="0" fontId="0" fillId="0" borderId="2" xfId="1" applyFont="1" applyBorder="1"/>
    <x:xf numFmtId="0" fontId="0" fillId="0" borderId="2" xfId="1" applyFont="1" applyBorder="1" applyAlignment="1">
      <x:alignment wrapText="1"/>
    </x:xf>
    <x:xf numFmtId="0" fontId="0" fillId="0" borderId="0" xfId="1" applyFont="1" applyAlignment="1">
      <x:alignment wrapText="1"/>
    </x:xf>
    <x:xf numFmtId="0" fontId="0" fillId="0" borderId="2" xfId="1" applyFont="1" applyBorder="1" applyAlignment="1">
      <x:alignment vertical="top" wrapText="1"/>
    </x:xf>
    <x:xf numFmtId="0" fontId="0" fillId="0" borderId="0" xfId="1" applyFont="1" applyAlignment="1">
      <x:alignment vertical="top" wrapText="1"/>
    </x:xf>
    <x:xf numFmtId="0" fontId="3" fillId="4" borderId="1" xfId="1" applyFont="1" applyFill="1" applyBorder="1" applyAlignment="1">
      <x:alignment vertical="top" wrapText="1"/>
    </x:xf>
    <x:xf numFmtId="0" fontId="0" fillId="6" borderId="2" xfId="1" applyFont="1" applyFill="1" applyBorder="1"/>
    <x:xf numFmtId="4" fontId="4" fillId="5" borderId="2" xfId="1" applyNumberFormat="1" applyFont="1" applyFill="1" applyBorder="1" applyAlignment="1">
      <x:alignment wrapText="1"/>
    </x:xf>
    <x:xf numFmtId="3" fontId="5" fillId="6" borderId="2" xfId="1" applyNumberFormat="1" applyFont="1" applyFill="1" applyBorder="1" applyAlignment="1">
      <x:alignment wrapText="1"/>
    </x:xf>
    <x:xf numFmtId="0" fontId="4" fillId="5" borderId="2" xfId="1" applyFont="1" applyFill="1" applyBorder="1" applyAlignment="1">
      <x:alignment wrapText="1"/>
    </x:xf>
    <x:xf numFmtId="164" fontId="0" fillId="6" borderId="2" xfId="1" applyNumberFormat="1" applyFont="1" applyFill="1" applyBorder="1" applyAlignment="1">
      <x:alignment wrapText="1"/>
    </x:xf>
    <x:xf numFmtId="0" fontId="0" fillId="6" borderId="2" xfId="1" applyFont="1" applyFill="1" applyBorder="1" applyAlignment="1">
      <x:alignment wrapText="1"/>
    </x:xf>
    <x:xf numFmtId="0" fontId="0" fillId="7" borderId="2" xfId="1" applyFont="1" applyFill="1" applyBorder="1" applyAlignment="1">
      <x:alignment wrapText="1"/>
    </x:xf>
    <x:xf numFmtId="2" fontId="0" fillId="6" borderId="2" xfId="1" applyNumberFormat="1" applyFont="1" applyFill="1" applyBorder="1"/>
    <x:xf numFmtId="0" fontId="0" fillId="8" borderId="2" xfId="1" applyFont="1" applyFill="1" applyBorder="1"/>
    <x:xf numFmtId="0" fontId="0" fillId="5" borderId="2" xfId="1" applyFont="1" applyFill="1" applyBorder="1" applyAlignment="1">
      <x:alignment wrapText="1"/>
    </x:xf>
    <x:xf numFmtId="2" fontId="0" fillId="6" borderId="2" xfId="1" applyNumberFormat="1" applyFont="1" applyFill="1" applyBorder="1" applyAlignment="1">
      <x:alignment wrapText="1"/>
    </x:xf>
    <x:xf numFmtId="0" fontId="6" fillId="8" borderId="2" xfId="1" applyFont="1" applyFill="1" applyBorder="1" applyAlignment="1">
      <x:alignment wrapText="1"/>
    </x:xf>
    <x:xf numFmtId="2" fontId="5" fillId="6" borderId="2" xfId="1" applyNumberFormat="1" applyFont="1" applyFill="1" applyBorder="1"/>
    <x:xf numFmtId="2" fontId="0" fillId="0" borderId="2" xfId="1" applyNumberFormat="1" applyFont="1" applyBorder="1"/>
    <x:xf numFmtId="0" fontId="0" fillId="8" borderId="2" xfId="1" applyFont="1" applyFill="1" applyBorder="1" applyAlignment="1">
      <x:alignment wrapText="1"/>
    </x:xf>
    <x:xf numFmtId="0" fontId="0" fillId="0" borderId="3" xfId="1" applyFont="1" applyBorder="1" applyAlignment="1">
      <x:alignment wrapText="1"/>
    </x:xf>
    <x:xf numFmtId="0" fontId="7" fillId="10" borderId="3" xfId="1" applyFont="1" applyFill="1" applyBorder="1" applyAlignment="1">
      <x:alignment wrapText="1"/>
    </x:xf>
    <x:xf numFmtId="0" fontId="3" fillId="4" borderId="0" xfId="1" applyFont="1" applyFill="1" applyAlignment="1">
      <x:alignment vertical="top" wrapText="1"/>
    </x:xf>
    <x:xf numFmtId="0" fontId="0" fillId="0" borderId="0" xfId="0"/>
    <x:xf numFmtId="0" fontId="3" fillId="4" borderId="0" xfId="1" applyFont="1" applyFill="1" applyAlignment="1">
      <x:alignment vertical="center"/>
    </x:xf>
    <x:xf numFmtId="0" fontId="0" fillId="0" borderId="2" xfId="1" applyFont="1" applyBorder="1" applyAlignment="1">
      <x:alignment vertical="top" wrapText="1"/>
    </x:xf>
    <x:xf numFmtId="0" fontId="0" fillId="0" borderId="6" xfId="1" applyFont="1" applyBorder="1"/>
    <x:xf numFmtId="0" fontId="0" fillId="0" borderId="7" xfId="1" applyFont="1" applyBorder="1"/>
    <x:xf numFmtId="0" fontId="3" fillId="4" borderId="1" xfId="1" applyFont="1" applyFill="1" applyBorder="1" applyAlignment="1">
      <x:alignment vertical="center" wrapText="1"/>
    </x:xf>
    <x:xf numFmtId="0" fontId="0" fillId="0" borderId="4" xfId="1" applyFont="1" applyBorder="1"/>
    <x:xf numFmtId="0" fontId="0" fillId="0" borderId="5" xfId="1" applyFont="1" applyBorder="1"/>
    <x:xf numFmtId="0" fontId="2" fillId="3" borderId="0" xfId="1" applyFont="1" applyFill="1" applyAlignment="1">
      <x:alignment vertical="center" wrapText="1"/>
    </x:xf>
    <x:xf numFmtId="0" fontId="1" fillId="2" borderId="0" xfId="1" applyFont="1" applyFill="1" applyAlignment="1">
      <x:alignment vertical="center"/>
    </x:xf>
    <x:xf numFmtId="0" fontId="3" fillId="4" borderId="0" xfId="1" applyFont="1" applyFill="1" applyAlignment="1">
      <x:alignment vertical="center" wrapText="1"/>
    </x:xf>
    <x:xf numFmtId="0" fontId="0" fillId="8" borderId="2" xfId="1" applyFont="1" applyFill="1" applyBorder="1" applyAlignment="1">
      <x:alignment wrapText="1"/>
    </x:xf>
    <x:xf numFmtId="0" fontId="3" fillId="9" borderId="0" xfId="1" applyFont="1" applyFill="1" applyAlignment="1">
      <x:alignment vertical="center"/>
    </x:xf>
  </x:cellXfs>
  <x:cellStyles count="2">
    <x:cellStyle name="Bình thường" xfId="0"/>
    <x:cellStyle name="Normal" xfId="1"/>
  </x:cellStyles>
  <x:dxfs count="3">
    <x:dxf>
      <x:font>
        <x:b/>
        <x:color rgb="FF548235"/>
      </x:font>
      <x:fill>
        <x:patternFill>
          <x:bgColor rgb="FFE2F0D9"/>
        </x:patternFill>
      </x:fill>
    </x:dxf>
    <x:dxf>
      <x:font>
        <x:b/>
        <x:color rgb="FF9C6500"/>
      </x:font>
      <x:fill>
        <x:patternFill>
          <x:bgColor rgb="FFFCE4D6"/>
        </x:patternFill>
      </x:fill>
    </x:dxf>
    <x:dxf>
      <x:font>
        <x:b/>
        <x:color rgb="FF9C0006"/>
      </x:font>
      <x:fill>
        <x:patternFill>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48d79e7768041be" /><Relationship Type="http://schemas.openxmlformats.org/officeDocument/2006/relationships/theme" Target="/xl/theme/theme1.xml" Id="R322b5e6deefe4c92" /><Relationship Type="http://schemas.openxmlformats.org/officeDocument/2006/relationships/sharedStrings" Target="/xl/sharedStrings.xml" Id="R21d81ebdec92413d" /><Relationship Type="http://schemas.openxmlformats.org/officeDocument/2006/relationships/worksheet" Target="/xl/worksheets/sheet1.xml" Id="Rfd5faab422824fac" /><Relationship Type="http://schemas.openxmlformats.org/officeDocument/2006/relationships/worksheet" Target="/xl/worksheets/sheet2.xml" Id="Rabc52ea1db6f4b6d" /><Relationship Type="http://schemas.openxmlformats.org/officeDocument/2006/relationships/worksheet" Target="/xl/worksheets/sheet3.xml" Id="R75effac45c1e4a5b" /><Relationship Type="http://schemas.openxmlformats.org/officeDocument/2006/relationships/worksheet" Target="/xl/worksheets/sheet4.xml" Id="Re44f007f8f4e48ea" /><Relationship Type="http://schemas.openxmlformats.org/officeDocument/2006/relationships/worksheet" Target="/xl/worksheets/sheet5.xml" Id="R4a2966a15b5041bd" /><Relationship Type="http://schemas.openxmlformats.org/officeDocument/2006/relationships/worksheet" Target="/xl/worksheets/sheet6.xml" Id="Rfaee82e62d054b36" /><Relationship Type="http://schemas.openxmlformats.org/officeDocument/2006/relationships/worksheet" Target="/xl/worksheets/sheet7.xml" Id="R78f3e08fdf0e458f" /><Relationship Type="http://schemas.openxmlformats.org/officeDocument/2006/relationships/worksheet" Target="/xl/worksheets/sheet8.xml" Id="Rbf8efea710a74849" /><Relationship Type="http://schemas.openxmlformats.org/officeDocument/2006/relationships/worksheet" Target="/xl/worksheets/sheet9.xml" Id="R1616699c50f44efb" /><Relationship Type="http://schemas.openxmlformats.org/officeDocument/2006/relationships/worksheet" Target="/xl/worksheets/sheet10.xml" Id="R8b47675e663c431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3.800000190734863"/>
  <x:cols>
    <x:col min="1" max="1" width="19.3984375" customWidth="1"/>
    <x:col min="2" max="2" width="33.296875" customWidth="1"/>
    <x:col min="3" max="3" width="20" customWidth="1"/>
    <x:col min="4" max="8" width="13.296875" customWidth="1"/>
  </x:cols>
  <x:sheetData>
    <x:row r="1" ht="28.049999237060547" customHeight="1">
      <x:c r="A1" s="35" t="s">
        <x:v>0</x:v>
      </x:c>
      <x:c r="B1" s="26"/>
      <x:c r="C1" s="26"/>
      <x:c r="D1" s="26"/>
      <x:c r="E1" s="26"/>
      <x:c r="F1" s="26"/>
      <x:c r="G1" s="26"/>
      <x:c r="H1" s="26"/>
    </x:row>
    <x:row r="2" ht="31.950000762939453" customHeight="1">
      <x:c r="A2" s="34" t="s">
        <x:v>1</x:v>
      </x:c>
      <x:c r="B2" s="26"/>
      <x:c r="C2" s="26"/>
      <x:c r="D2" s="26"/>
      <x:c r="E2" s="26"/>
      <x:c r="F2" s="26"/>
      <x:c r="G2" s="26"/>
      <x:c r="H2" s="26"/>
    </x:row>
    <x:row r="4" ht="22.049999237060547" customHeight="1">
      <x:c r="A4" s="27" t="s">
        <x:v>2</x:v>
      </x:c>
      <x:c r="B4" s="26"/>
      <x:c r="C4" s="26"/>
      <x:c r="D4" s="26"/>
      <x:c r="E4" s="26"/>
      <x:c r="F4" s="26"/>
      <x:c r="G4" s="26"/>
      <x:c r="H4" s="26"/>
    </x:row>
    <x:row r="5">
      <x:c r="A5" s="1" t="s">
        <x:v>3</x:v>
      </x:c>
      <x:c r="B5" s="1" t="s">
        <x:v>4</x:v>
      </x:c>
      <x:c r="C5" s="31" t="s">
        <x:v>5</x:v>
      </x:c>
      <x:c r="D5" s="32"/>
      <x:c r="E5" s="32"/>
      <x:c r="F5" s="32"/>
      <x:c r="G5" s="32"/>
      <x:c r="H5" s="33"/>
    </x:row>
    <x:row r="6" ht="41.400001525878906">
      <x:c r="A6" s="5" t="s">
        <x:v>6</x:v>
      </x:c>
      <x:c r="B6" s="5" t="s">
        <x:v>7</x:v>
      </x:c>
      <x:c r="C6" s="28" t="s">
        <x:v>8</x:v>
      </x:c>
      <x:c r="D6" s="29"/>
      <x:c r="E6" s="29"/>
      <x:c r="F6" s="29"/>
      <x:c r="G6" s="29"/>
      <x:c r="H6" s="30"/>
    </x:row>
    <x:row r="7" ht="41.400001525878906">
      <x:c r="A7" s="5" t="s">
        <x:v>9</x:v>
      </x:c>
      <x:c r="B7" s="5" t="str">
        <x:v>Danh sách sản phẩm trong file chỉ dùng tham khảo, minh họa và kiểm thử; không phải nguồn dữ liệu vận hành của website.</x:v>
      </x:c>
      <x:c r="C7" s="28" t="str">
        <x:v>Khi triển khai, toàn bộ SKU, tên, thông số, giá, ảnh, URL và trạng thái sản phẩm lấy trực tiếp từ database sản phẩm do Mắt Bão quản lý.</x:v>
      </x:c>
      <x:c r="D7" s="29"/>
      <x:c r="E7" s="29"/>
      <x:c r="F7" s="29"/>
      <x:c r="G7" s="29"/>
      <x:c r="H7" s="30"/>
    </x:row>
    <x:row r="8" ht="55.20000076293945">
      <x:c r="A8" s="5" t="s">
        <x:v>10</x:v>
      </x:c>
      <x:c r="B8" s="5" t="s">
        <x:v>11</x:v>
      </x:c>
      <x:c r="C8" s="28" t="s">
        <x:v>12</x:v>
      </x:c>
      <x:c r="D8" s="29"/>
      <x:c r="E8" s="29"/>
      <x:c r="F8" s="29"/>
      <x:c r="G8" s="29"/>
      <x:c r="H8" s="30"/>
    </x:row>
    <x:row r="9" ht="41.400001525878906">
      <x:c r="A9" s="5" t="s">
        <x:v>13</x:v>
      </x:c>
      <x:c r="B9" s="5" t="s">
        <x:v>14</x:v>
      </x:c>
      <x:c r="C9" s="28" t="s">
        <x:v>15</x:v>
      </x:c>
      <x:c r="D9" s="29"/>
      <x:c r="E9" s="29"/>
      <x:c r="F9" s="29"/>
      <x:c r="G9" s="29"/>
      <x:c r="H9" s="30"/>
    </x:row>
    <x:row r="10" ht="41.400001525878906">
      <x:c r="A10" s="5" t="s">
        <x:v>16</x:v>
      </x:c>
      <x:c r="B10" s="5" t="s">
        <x:v>17</x:v>
      </x:c>
      <x:c r="C10" s="28" t="s">
        <x:v>18</x:v>
      </x:c>
      <x:c r="D10" s="29"/>
      <x:c r="E10" s="29"/>
      <x:c r="F10" s="29"/>
      <x:c r="G10" s="29"/>
      <x:c r="H10" s="30"/>
    </x:row>
    <x:row r="11">
      <x:c r="A11" s="6"/>
      <x:c r="B11" s="6"/>
      <x:c r="C11" s="6"/>
      <x:c r="D11" s="6"/>
      <x:c r="E11" s="6"/>
      <x:c r="F11" s="6"/>
      <x:c r="G11" s="6"/>
      <x:c r="H11" s="6"/>
    </x:row>
    <x:row r="12" ht="22.049999237060547" customHeight="1">
      <x:c r="A12" s="25" t="s">
        <x:v>19</x:v>
      </x:c>
      <x:c r="B12" s="26"/>
      <x:c r="C12" s="26"/>
      <x:c r="D12" s="26"/>
      <x:c r="E12" s="26"/>
      <x:c r="F12" s="26"/>
      <x:c r="G12" s="26"/>
      <x:c r="H12" s="26"/>
    </x:row>
    <x:row r="13">
      <x:c r="A13" s="7" t="s">
        <x:v>20</x:v>
      </x:c>
      <x:c r="B13" s="7" t="s">
        <x:v>21</x:v>
      </x:c>
      <x:c r="C13" s="7" t="s">
        <x:v>22</x:v>
      </x:c>
      <x:c r="D13" s="6"/>
      <x:c r="E13" s="6"/>
      <x:c r="F13" s="6"/>
      <x:c r="G13" s="6"/>
      <x:c r="H13" s="6"/>
    </x:row>
    <x:row r="14" ht="27.600000381469727">
      <x:c r="A14" s="5" t="s">
        <x:v>23</x:v>
      </x:c>
      <x:c r="B14" s="5" t="s">
        <x:v>24</x:v>
      </x:c>
      <x:c r="C14" s="5" t="s">
        <x:v>25</x:v>
      </x:c>
      <x:c r="D14" s="6"/>
      <x:c r="E14" s="6"/>
      <x:c r="F14" s="6"/>
      <x:c r="G14" s="6"/>
      <x:c r="H14" s="6"/>
    </x:row>
    <x:row r="15" ht="27.600000381469727">
      <x:c r="A15" s="5" t="s">
        <x:v>26</x:v>
      </x:c>
      <x:c r="B15" s="5" t="s">
        <x:v>27</x:v>
      </x:c>
      <x:c r="C15" s="5" t="s">
        <x:v>28</x:v>
      </x:c>
      <x:c r="D15" s="6"/>
      <x:c r="E15" s="6"/>
      <x:c r="F15" s="6"/>
      <x:c r="G15" s="6"/>
      <x:c r="H15" s="6"/>
    </x:row>
    <x:row r="16" ht="41.400001525878906">
      <x:c r="A16" s="5" t="s">
        <x:v>29</x:v>
      </x:c>
      <x:c r="B16" s="5" t="s">
        <x:v>30</x:v>
      </x:c>
      <x:c r="C16" s="5" t="s">
        <x:v>31</x:v>
      </x:c>
      <x:c r="D16" s="6"/>
      <x:c r="E16" s="6"/>
      <x:c r="F16" s="6"/>
      <x:c r="G16" s="6"/>
      <x:c r="H16" s="6"/>
    </x:row>
    <x:row r="17">
      <x:c r="A17" s="5" t="s">
        <x:v>32</x:v>
      </x:c>
      <x:c r="B17" s="5" t="s">
        <x:v>33</x:v>
      </x:c>
      <x:c r="C17" s="5" t="s">
        <x:v>34</x:v>
      </x:c>
      <x:c r="D17" s="6"/>
      <x:c r="E17" s="6"/>
      <x:c r="F17" s="6"/>
      <x:c r="G17" s="6"/>
      <x:c r="H17" s="6"/>
    </x:row>
    <x:row r="18" ht="27.600000381469727">
      <x:c r="A18" s="5" t="s">
        <x:v>35</x:v>
      </x:c>
      <x:c r="B18" s="5" t="s">
        <x:v>36</x:v>
      </x:c>
      <x:c r="C18" s="5" t="s">
        <x:v>37</x:v>
      </x:c>
      <x:c r="D18" s="6"/>
      <x:c r="E18" s="6"/>
      <x:c r="F18" s="6"/>
      <x:c r="G18" s="6"/>
      <x:c r="H18" s="6"/>
    </x:row>
    <x:row r="19" ht="27.600000381469727">
      <x:c r="A19" s="5" t="s">
        <x:v>38</x:v>
      </x:c>
      <x:c r="B19" s="5" t="s">
        <x:v>39</x:v>
      </x:c>
      <x:c r="C19" s="5" t="s">
        <x:v>40</x:v>
      </x:c>
      <x:c r="D19" s="6"/>
      <x:c r="E19" s="6"/>
      <x:c r="F19" s="6"/>
      <x:c r="G19" s="6"/>
      <x:c r="H19" s="6"/>
    </x:row>
    <x:row r="20">
      <x:c r="A20" s="5" t="s">
        <x:v>41</x:v>
      </x:c>
      <x:c r="B20" s="5" t="s">
        <x:v>42</x:v>
      </x:c>
      <x:c r="C20" s="5" t="s">
        <x:v>43</x:v>
      </x:c>
      <x:c r="D20" s="6"/>
      <x:c r="E20" s="6"/>
      <x:c r="F20" s="6"/>
      <x:c r="G20" s="6"/>
      <x:c r="H20" s="6"/>
    </x:row>
  </x:sheetData>
  <x:mergeCells>
    <x:mergeCell ref="A2:H2"/>
    <x:mergeCell ref="C9:H9"/>
    <x:mergeCell ref="C8:H8"/>
    <x:mergeCell ref="A1:H1"/>
    <x:mergeCell ref="C7:H7"/>
    <x:mergeCell ref="A12:H12"/>
    <x:mergeCell ref="A4:H4"/>
    <x:mergeCell ref="C6:H6"/>
    <x:mergeCell ref="C10:H10"/>
    <x:mergeCell ref="C5:H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3.800000190734863"/>
  <x:cols>
    <x:col min="1" max="1" width="27.19921875" customWidth="1"/>
    <x:col min="2" max="2" width="14.3984375" customWidth="1"/>
    <x:col min="3" max="3" width="3.09765625" customWidth="1"/>
    <x:col min="4" max="4" width="25.59765625" customWidth="1"/>
    <x:col min="5" max="5" width="15" customWidth="1"/>
    <x:col min="6" max="6" width="31.69921875" customWidth="1"/>
    <x:col min="7" max="8" width="6.69921875" customWidth="1"/>
  </x:cols>
  <x:sheetData>
    <x:row r="1" ht="28.049999237060547" customHeight="1">
      <x:c r="A1" s="35" t="s">
        <x:v>44</x:v>
      </x:c>
      <x:c r="B1" s="26"/>
      <x:c r="C1" s="26"/>
      <x:c r="D1" s="26"/>
      <x:c r="E1" s="26"/>
      <x:c r="F1" s="26"/>
      <x:c r="G1" s="26"/>
      <x:c r="H1" s="26"/>
    </x:row>
    <x:row r="2" ht="31.950000762939453" customHeight="1">
      <x:c r="A2" s="34" t="s">
        <x:v>45</x:v>
      </x:c>
      <x:c r="B2" s="26"/>
      <x:c r="C2" s="26"/>
      <x:c r="D2" s="26"/>
      <x:c r="E2" s="26"/>
      <x:c r="F2" s="26"/>
      <x:c r="G2" s="26"/>
      <x:c r="H2" s="26"/>
    </x:row>
    <x:row r="4" ht="22.049999237060547" customHeight="1">
      <x:c r="A4" s="27" t="s">
        <x:v>46</x:v>
      </x:c>
      <x:c r="B4" s="26"/>
      <x:c r="C4" s="26"/>
      <x:c r="D4" s="26"/>
      <x:c r="E4" s="26"/>
      <x:c r="F4" s="26"/>
      <x:c r="G4" s="26"/>
      <x:c r="H4" s="26"/>
    </x:row>
    <x:row r="5">
      <x:c r="A5" s="1" t="s">
        <x:v>47</x:v>
      </x:c>
      <x:c r="B5" s="1" t="s">
        <x:v>48</x:v>
      </x:c>
      <x:c r="C5" s="4"/>
      <x:c r="D5" s="1" t="s">
        <x:v>49</x:v>
      </x:c>
      <x:c r="E5" s="1" t="s">
        <x:v>50</x:v>
      </x:c>
      <x:c r="F5" s="1" t="s">
        <x:v>51</x:v>
      </x:c>
      <x:c r="G5" s="1"/>
      <x:c r="H5" s="1"/>
    </x:row>
    <x:row r="6">
      <x:c r="A6" s="3" t="s">
        <x:v>52</x:v>
      </x:c>
      <x:c r="B6" s="9">
        <x:v>3000</x:v>
      </x:c>
      <x:c r="C6" s="4"/>
      <x:c r="D6" s="3" t="s">
        <x:v>53</x:v>
      </x:c>
      <x:c r="E6" s="10" t="n">
        <x:f>B6*B7</x:f>
        <x:v>9000</x:v>
      </x:c>
      <x:c r="F6" s="3" t="s">
        <x:v>54</x:v>
      </x:c>
      <x:c r="G6" s="3"/>
      <x:c r="H6" s="3"/>
    </x:row>
    <x:row r="7">
      <x:c r="A7" s="3" t="s">
        <x:v>55</x:v>
      </x:c>
      <x:c r="B7" s="9">
        <x:v>3</x:v>
      </x:c>
      <x:c r="C7" s="4"/>
      <x:c r="D7" s="3" t="s">
        <x:v>56</x:v>
      </x:c>
      <x:c r="E7" s="10" t="n">
        <x:f>E6*B8</x:f>
        <x:v>180000</x:v>
      </x:c>
      <x:c r="F7" s="3" t="s">
        <x:v>57</x:v>
      </x:c>
      <x:c r="G7" s="3"/>
      <x:c r="H7" s="3"/>
    </x:row>
    <x:row r="8" ht="27.600000381469727">
      <x:c r="A8" s="3" t="s">
        <x:v>58</x:v>
      </x:c>
      <x:c r="B8" s="9">
        <x:v>20</x:v>
      </x:c>
      <x:c r="C8" s="4"/>
      <x:c r="D8" s="3" t="s">
        <x:v>59</x:v>
      </x:c>
      <x:c r="E8" s="10">
        <x:v>46000</x:v>
      </x:c>
      <x:c r="F8" s="3" t="s">
        <x:v>60</x:v>
      </x:c>
      <x:c r="G8" s="3"/>
      <x:c r="H8" s="3"/>
    </x:row>
    <x:row r="9" ht="27.600000381469727">
      <x:c r="A9" s="3" t="s">
        <x:v>61</x:v>
      </x:c>
      <x:c r="B9" s="11" t="s">
        <x:v>62</x:v>
      </x:c>
      <x:c r="C9" s="4"/>
      <x:c r="D9" s="3" t="s">
        <x:v>63</x:v>
      </x:c>
      <x:c r="E9" s="10" t="n">
        <x:f>IFERROR(ROUNDUP(E7/E8,0),"")</x:f>
        <x:v>4</x:v>
      </x:c>
      <x:c r="F9" s="3" t="s">
        <x:v>64</x:v>
      </x:c>
      <x:c r="G9" s="3"/>
      <x:c r="H9" s="3"/>
    </x:row>
    <x:row r="10" ht="27.600000381469727">
      <x:c r="A10" s="4"/>
      <x:c r="B10" s="4"/>
      <x:c r="C10" s="4"/>
      <x:c r="D10" s="3" t="s">
        <x:v>65</x:v>
      </x:c>
      <x:c r="E10" s="10" t="n">
        <x:f>IFERROR(E8*E9,"")</x:f>
        <x:v>184000</x:v>
      </x:c>
      <x:c r="F10" s="3" t="s">
        <x:v>66</x:v>
      </x:c>
      <x:c r="G10" s="3"/>
      <x:c r="H10" s="3"/>
    </x:row>
    <x:row r="11">
      <x:c r="A11" s="4"/>
      <x:c r="B11" s="4"/>
      <x:c r="C11" s="4"/>
      <x:c r="D11" s="4"/>
      <x:c r="E11" s="4"/>
      <x:c r="F11" s="4"/>
      <x:c r="G11" s="4"/>
      <x:c r="H11" s="4"/>
    </x:row>
    <x:row r="12" ht="22.049999237060547" customHeight="1">
      <x:c r="A12" s="36" t="s">
        <x:v>67</x:v>
      </x:c>
      <x:c r="B12" s="26"/>
      <x:c r="C12" s="26"/>
      <x:c r="D12" s="26"/>
      <x:c r="E12" s="26"/>
      <x:c r="F12" s="26"/>
      <x:c r="G12" s="26"/>
      <x:c r="H12" s="26"/>
    </x:row>
    <x:row r="13" ht="27.600000381469727">
      <x:c r="A13" s="1" t="s">
        <x:v>49</x:v>
      </x:c>
      <x:c r="B13" s="1" t="s">
        <x:v>48</x:v>
      </x:c>
      <x:c r="C13" s="4"/>
      <x:c r="D13" s="1" t="s">
        <x:v>68</x:v>
      </x:c>
      <x:c r="E13" s="1"/>
      <x:c r="F13" s="1"/>
      <x:c r="G13" s="1"/>
      <x:c r="H13" s="1"/>
    </x:row>
    <x:row r="14" ht="27.600000381469727">
      <x:c r="A14" s="3" t="s">
        <x:v>69</x:v>
      </x:c>
      <x:c r="B14" s="12" t="n">
        <x:f>IFERROR(E10/E7-1,"")</x:f>
        <x:v>0.022222222222222143</x:v>
      </x:c>
      <x:c r="C14" s="4"/>
      <x:c r="D14" s="3" t="s">
        <x:v>70</x:v>
      </x:c>
      <x:c r="E14" s="3" t="s">
        <x:v>71</x:v>
      </x:c>
      <x:c r="F14" s="3"/>
      <x:c r="G14" s="3"/>
      <x:c r="H14" s="3"/>
    </x:row>
    <x:row r="15" ht="69">
      <x:c r="A15" s="3" t="s">
        <x:v>72</x:v>
      </x:c>
      <x:c r="B15" s="12">
        <x:v>0.05</x:v>
      </x:c>
      <x:c r="C15" s="4"/>
      <x:c r="D15" s="3" t="s">
        <x:v>73</x:v>
      </x:c>
      <x:c r="E15" s="3" t="s">
        <x:v>74</x:v>
      </x:c>
      <x:c r="F15" s="3"/>
      <x:c r="G15" s="3"/>
      <x:c r="H15" s="3"/>
    </x:row>
    <x:row r="16" ht="69">
      <x:c r="A16" s="3" t="s">
        <x:v>22</x:v>
      </x:c>
      <x:c r="B16" s="13" t="str">
        <x:f>IF(ABS(B14)&lt;=B15,"Trong ±5%","Ngoài ±5% – cần cảnh báo")</x:f>
        <x:v>Trong ±5%</x:v>
      </x:c>
      <x:c r="C16" s="4"/>
      <x:c r="D16" s="3" t="s">
        <x:v>75</x:v>
      </x:c>
      <x:c r="E16" s="3" t="s">
        <x:v>76</x:v>
      </x:c>
      <x:c r="F16" s="3"/>
      <x:c r="G16" s="3"/>
      <x:c r="H16" s="3"/>
    </x:row>
    <x:row r="17" ht="55.20000076293945">
      <x:c r="A17" s="3" t="s">
        <x:v>77</x:v>
      </x:c>
      <x:c r="B17" s="3" t="s">
        <x:v>78</x:v>
      </x:c>
      <x:c r="C17" s="4"/>
      <x:c r="D17" s="3" t="s">
        <x:v>79</x:v>
      </x:c>
      <x:c r="E17" s="3" t="s">
        <x:v>80</x:v>
      </x:c>
      <x:c r="F17" s="3"/>
      <x:c r="G17" s="3"/>
      <x:c r="H17" s="3"/>
    </x:row>
  </x:sheetData>
  <x:mergeCells>
    <x:mergeCell ref="A12:H12"/>
    <x:mergeCell ref="A2:H2"/>
    <x:mergeCell ref="A1:H1"/>
    <x:mergeCell ref="A4:C4"/>
    <x:mergeCell ref="D4:H4"/>
  </x:mergeCells>
  <x:dataValidations count="1">
    <x:dataValidation type="list" sqref="B9">
      <x:formula1>"220V,380V,Chưa xác định"</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3.800000190734863"/>
  <x:cols>
    <x:col min="1" max="1" width="28.8984375" customWidth="1"/>
    <x:col min="2" max="2" width="16.09765625" customWidth="1"/>
    <x:col min="3" max="3" width="36.69921875" customWidth="1"/>
    <x:col min="4" max="4" width="15" customWidth="1"/>
    <x:col min="5" max="5" width="21.09765625" customWidth="1"/>
    <x:col min="6" max="6" width="16.69921875" customWidth="1"/>
    <x:col min="7" max="7" width="16.09765625" customWidth="1"/>
    <x:col min="8" max="8" width="16.69921875" customWidth="1"/>
  </x:cols>
  <x:sheetData>
    <x:row r="1" ht="28.049999237060547" customHeight="1">
      <x:c r="A1" s="35" t="s">
        <x:v>81</x:v>
      </x:c>
      <x:c r="B1" s="26"/>
      <x:c r="C1" s="26"/>
      <x:c r="D1" s="26"/>
      <x:c r="E1" s="26"/>
      <x:c r="F1" s="26"/>
      <x:c r="G1" s="26"/>
      <x:c r="H1" s="26"/>
    </x:row>
    <x:row r="2" ht="31.950000762939453" customHeight="1">
      <x:c r="A2" s="34" t="s">
        <x:v>82</x:v>
      </x:c>
      <x:c r="B2" s="26"/>
      <x:c r="C2" s="26"/>
      <x:c r="D2" s="26"/>
      <x:c r="E2" s="26"/>
      <x:c r="F2" s="26"/>
      <x:c r="G2" s="26"/>
      <x:c r="H2" s="26"/>
    </x:row>
    <x:row r="4" ht="22.049999237060547" customHeight="1">
      <x:c r="A4" s="27" t="s">
        <x:v>83</x:v>
      </x:c>
      <x:c r="B4" s="26"/>
      <x:c r="C4" s="26"/>
      <x:c r="D4" s="26"/>
      <x:c r="E4" s="26"/>
      <x:c r="F4" s="26"/>
      <x:c r="G4" s="26"/>
      <x:c r="H4" s="26"/>
    </x:row>
    <x:row r="5">
      <x:c r="A5" s="1" t="s">
        <x:v>47</x:v>
      </x:c>
      <x:c r="B5" s="1" t="s">
        <x:v>48</x:v>
      </x:c>
      <x:c r="C5" s="4"/>
      <x:c r="D5" s="1" t="s">
        <x:v>49</x:v>
      </x:c>
      <x:c r="E5" s="1" t="s">
        <x:v>50</x:v>
      </x:c>
      <x:c r="F5" s="4"/>
      <x:c r="G5" s="4"/>
      <x:c r="H5" s="4"/>
    </x:row>
    <x:row r="6">
      <x:c r="A6" s="3" t="s">
        <x:v>84</x:v>
      </x:c>
      <x:c r="B6" s="11">
        <x:v>200</x:v>
      </x:c>
      <x:c r="C6" s="4"/>
      <x:c r="D6" s="3" t="s">
        <x:v>85</x:v>
      </x:c>
      <x:c r="E6" s="10" t="n">
        <x:f>B6*B7</x:f>
        <x:v>1200</x:v>
      </x:c>
      <x:c r="F6" s="4"/>
      <x:c r="G6" s="4"/>
      <x:c r="H6" s="4"/>
    </x:row>
    <x:row r="7" ht="27.600000381469727">
      <x:c r="A7" s="3" t="s">
        <x:v>55</x:v>
      </x:c>
      <x:c r="B7" s="11">
        <x:v>6</x:v>
      </x:c>
      <x:c r="C7" s="4"/>
      <x:c r="D7" s="3" t="s">
        <x:v>56</x:v>
      </x:c>
      <x:c r="E7" s="10" t="n">
        <x:f>E6*B8</x:f>
        <x:v>72000</x:v>
      </x:c>
      <x:c r="F7" s="4"/>
      <x:c r="G7" s="4"/>
      <x:c r="H7" s="4"/>
    </x:row>
    <x:row r="8" ht="27.600000381469727">
      <x:c r="A8" s="3" t="s">
        <x:v>58</x:v>
      </x:c>
      <x:c r="B8" s="11">
        <x:v>60</x:v>
      </x:c>
      <x:c r="C8" s="4"/>
      <x:c r="D8" s="3" t="s">
        <x:v>86</x:v>
      </x:c>
      <x:c r="E8" s="3" t="s">
        <x:v>87</x:v>
      </x:c>
      <x:c r="F8" s="4"/>
      <x:c r="G8" s="4"/>
      <x:c r="H8" s="4"/>
    </x:row>
    <x:row r="9">
      <x:c r="A9" s="3" t="s">
        <x:v>61</x:v>
      </x:c>
      <x:c r="B9" s="11" t="s">
        <x:v>62</x:v>
      </x:c>
      <x:c r="C9" s="4"/>
      <x:c r="D9" s="4"/>
      <x:c r="E9" s="4"/>
      <x:c r="F9" s="4"/>
      <x:c r="G9" s="4"/>
      <x:c r="H9" s="4"/>
    </x:row>
    <x:row r="10">
      <x:c r="A10" s="4"/>
      <x:c r="B10" s="4"/>
      <x:c r="C10" s="4"/>
      <x:c r="D10" s="4"/>
      <x:c r="E10" s="4"/>
      <x:c r="F10" s="4"/>
      <x:c r="G10" s="4"/>
      <x:c r="H10" s="4"/>
    </x:row>
    <x:row r="11" ht="22.049999237060547" customHeight="1">
      <x:c r="A11" s="36" t="s">
        <x:v>88</x:v>
      </x:c>
      <x:c r="B11" s="26"/>
      <x:c r="C11" s="26"/>
      <x:c r="D11" s="26"/>
      <x:c r="E11" s="26"/>
      <x:c r="F11" s="26"/>
      <x:c r="G11" s="26"/>
      <x:c r="H11" s="26"/>
    </x:row>
    <x:row r="12" ht="27.600000381469727">
      <x:c r="A12" s="1" t="s">
        <x:v>89</x:v>
      </x:c>
      <x:c r="B12" s="1" t="s">
        <x:v>90</x:v>
      </x:c>
      <x:c r="C12" s="1" t="s">
        <x:v>91</x:v>
      </x:c>
      <x:c r="D12" s="1" t="s">
        <x:v>92</x:v>
      </x:c>
      <x:c r="E12" s="1" t="s">
        <x:v>93</x:v>
      </x:c>
      <x:c r="F12" s="1" t="s">
        <x:v>61</x:v>
      </x:c>
      <x:c r="G12" s="1" t="s">
        <x:v>94</x:v>
      </x:c>
      <x:c r="H12" s="1" t="s">
        <x:v>95</x:v>
      </x:c>
    </x:row>
    <x:row r="13">
      <x:c r="A13" s="3" t="s">
        <x:v>96</x:v>
      </x:c>
      <x:c r="B13" s="17">
        <x:v>48000</x:v>
      </x:c>
      <x:c r="C13" s="13" t="n">
        <x:f>IFERROR(ROUNDUP($E$7/B13,0),"")</x:f>
        <x:v>2</x:v>
      </x:c>
      <x:c r="D13" s="13" t="n">
        <x:f>IFERROR(B13*C13,"")</x:f>
        <x:v>96000</x:v>
      </x:c>
      <x:c r="E13" s="12" t="n">
        <x:f>IFERROR(D13/$E$7-1,"")</x:f>
        <x:v>0.33333333333333326</x:v>
      </x:c>
      <x:c r="F13" s="3" t="s">
        <x:v>62</x:v>
      </x:c>
      <x:c r="G13" s="17"/>
      <x:c r="H13" s="3" t="n">
        <x:f>IFERROR(C13*G13,"")</x:f>
        <x:v>0</x:v>
      </x:c>
    </x:row>
    <x:row r="14">
      <x:c r="A14" s="3" t="s">
        <x:v>97</x:v>
      </x:c>
      <x:c r="B14" s="3"/>
      <x:c r="C14" s="3"/>
      <x:c r="D14" s="3"/>
      <x:c r="E14" s="3"/>
      <x:c r="F14" s="3"/>
      <x:c r="G14" s="3"/>
      <x:c r="H14" s="3"/>
    </x:row>
    <x:row r="15" ht="96.5999984741211">
      <x:c r="A15" s="14" t="s">
        <x:v>77</x:v>
      </x:c>
      <x:c r="B15" s="14" t="s">
        <x:v>98</x:v>
      </x:c>
      <x:c r="C15" s="14"/>
      <x:c r="D15" s="14"/>
      <x:c r="E15" s="14"/>
      <x:c r="F15" s="14"/>
      <x:c r="G15" s="14"/>
      <x:c r="H15" s="14"/>
    </x:row>
    <x:row r="16">
      <x:c r="A16" s="4"/>
      <x:c r="B16" s="4"/>
      <x:c r="C16" s="4"/>
      <x:c r="D16" s="4"/>
      <x:c r="E16" s="4"/>
      <x:c r="F16" s="4"/>
      <x:c r="G16" s="4"/>
      <x:c r="H16" s="4"/>
    </x:row>
    <x:row r="17">
      <x:c r="A17" s="4"/>
      <x:c r="B17" s="4"/>
      <x:c r="C17" s="4"/>
      <x:c r="D17" s="4"/>
      <x:c r="E17" s="4"/>
      <x:c r="F17" s="4"/>
      <x:c r="G17" s="4"/>
      <x:c r="H17" s="4"/>
    </x:row>
    <x:row r="18" ht="22.049999237060547" customHeight="1">
      <x:c r="A18" s="36" t="s">
        <x:v>99</x:v>
      </x:c>
      <x:c r="B18" s="26"/>
      <x:c r="C18" s="26"/>
      <x:c r="D18" s="26"/>
      <x:c r="E18" s="26"/>
      <x:c r="F18" s="26"/>
      <x:c r="G18" s="26"/>
      <x:c r="H18" s="26"/>
    </x:row>
    <x:row r="19">
      <x:c r="A19" s="1" t="s">
        <x:v>49</x:v>
      </x:c>
      <x:c r="B19" s="1" t="s">
        <x:v>48</x:v>
      </x:c>
      <x:c r="C19" s="1" t="s">
        <x:v>100</x:v>
      </x:c>
      <x:c r="D19" s="4"/>
      <x:c r="E19" s="1" t="s">
        <x:v>49</x:v>
      </x:c>
      <x:c r="F19" s="1" t="s">
        <x:v>48</x:v>
      </x:c>
      <x:c r="G19" s="4"/>
      <x:c r="H19" s="4"/>
    </x:row>
    <x:row r="20" ht="27.600000381469727">
      <x:c r="A20" s="3" t="s">
        <x:v>101</x:v>
      </x:c>
      <x:c r="B20" s="17">
        <x:v>9000</x:v>
      </x:c>
      <x:c r="C20" s="3" t="str">
        <x:v>Winline chốt dùng mức 9.000 m³/h/m² làm cơ sở tính hiện tại. Giá trị phải được cấu hình để có thể điều chỉnh khi cần.</x:v>
      </x:c>
      <x:c r="D20" s="4"/>
      <x:c r="E20" s="3" t="s">
        <x:v>102</x:v>
      </x:c>
      <x:c r="F20" s="13" t="n">
        <x:f>D13</x:f>
        <x:v>96000</x:v>
      </x:c>
      <x:c r="G20" s="4"/>
      <x:c r="H20" s="4"/>
    </x:row>
    <x:row r="21" ht="27.600000381469727">
      <x:c r="A21" s="3" t="s">
        <x:v>103</x:v>
      </x:c>
      <x:c r="B21" s="18" t="n">
        <x:f>IFERROR($E$7/B20,"")</x:f>
        <x:v>8</x:v>
      </x:c>
      <x:c r="C21" s="3" t="s">
        <x:v>104</x:v>
      </x:c>
      <x:c r="D21" s="4"/>
      <x:c r="E21" s="3" t="s">
        <x:v>105</x:v>
      </x:c>
      <x:c r="F21" s="13" t="n">
        <x:f>'02_CoolingPad'!B23</x:f>
        <x:v>10.666666666666666</x:v>
      </x:c>
      <x:c r="G21" s="4"/>
      <x:c r="H21" s="4"/>
    </x:row>
    <x:row r="22" ht="27.600000381469727">
      <x:c r="A22" s="3" t="s">
        <x:v>106</x:v>
      </x:c>
      <x:c r="B22" s="18" t="n">
        <x:f>IFERROR(D13/B20,"")</x:f>
        <x:v>10.666666666666666</x:v>
      </x:c>
      <x:c r="C22" s="3" t="str">
        <x:v>Đã chốt: diện tích tấm tính theo tổng lưu lượng của quạt thực tế đã chọn.</x:v>
      </x:c>
      <x:c r="D22" s="4"/>
      <x:c r="E22" s="3" t="s">
        <x:v>107</x:v>
      </x:c>
      <x:c r="F22" s="13" t="n">
        <x:f>H13</x:f>
        <x:v>0</x:v>
      </x:c>
      <x:c r="G22" s="4"/>
      <x:c r="H22" s="4"/>
    </x:row>
    <x:row r="23" ht="27.600000381469727">
      <x:c r="A23" s="3" t="s">
        <x:v>108</x:v>
      </x:c>
      <x:c r="B23" s="18" t="n">
        <x:f>B22</x:f>
        <x:v>10.666666666666666</x:v>
      </x:c>
      <x:c r="C23" s="3" t="str">
        <x:v>Lấy theo tổng lưu lượng quạt đã chọn; độ dày tấm không tham gia tính diện tích.</x:v>
      </x:c>
      <x:c r="D23" s="4"/>
      <x:c r="E23" s="3" t="s">
        <x:v>109</x:v>
      </x:c>
      <x:c r="F23" s="13" t="s">
        <x:v>110</x:v>
      </x:c>
      <x:c r="G23" s="4"/>
      <x:c r="H23" s="4"/>
    </x:row>
    <x:row r="24">
      <x:c r="A24" s="3" t="s">
        <x:v>111</x:v>
      </x:c>
      <x:c r="B24" s="12" t="n">
        <x:f>IFERROR(B22/B21-1,"")</x:f>
        <x:v>0.33333333333333326</x:v>
      </x:c>
      <x:c r="C24" s="3" t="s">
        <x:v>112</x:v>
      </x:c>
      <x:c r="D24" s="4"/>
      <x:c r="E24" s="3" t="s">
        <x:v>113</x:v>
      </x:c>
      <x:c r="F24" s="13" t="n">
        <x:f>SUM(F22:F23)</x:f>
        <x:v>0</x:v>
      </x:c>
      <x:c r="G24" s="4"/>
      <x:c r="H24" s="4"/>
    </x:row>
    <x:row r="25" ht="55.20000076293945">
      <x:c r="A25" s="3" t="s">
        <x:v>114</x:v>
      </x:c>
      <x:c r="B25" s="19" t="str">
        <x:v>ĐÃ CHỐT CƠ SỞ HIỆN TẠI</x:v>
      </x:c>
      <x:c r="C25" s="19" t="str">
        <x:v>Sử dụng 9.000 m³/h/m². Đây là tham số cấu hình của công cụ, không phải lưu lượng riêng của một tấm làm mát.</x:v>
      </x:c>
      <x:c r="D25" s="4"/>
      <x:c r="E25" s="3" t="s">
        <x:v>16</x:v>
      </x:c>
      <x:c r="F25" s="3" t="s">
        <x:v>115</x:v>
      </x:c>
      <x:c r="G25" s="4"/>
      <x:c r="H25" s="4"/>
    </x:row>
  </x:sheetData>
  <x:mergeCells>
    <x:mergeCell ref="A18:H18"/>
    <x:mergeCell ref="A2:H2"/>
    <x:mergeCell ref="A11:H11"/>
    <x:mergeCell ref="A1:H1"/>
    <x:mergeCell ref="A4:C4"/>
    <x:mergeCell ref="D4:H4"/>
  </x:mergeCells>
  <x:dataValidations count="1">
    <x:dataValidation type="list" sqref="B9">
      <x:formula1>"220V,380V,Chưa xác định"</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3.800000190734863"/>
  <x:cols>
    <x:col min="1" max="1" width="21.09765625" customWidth="1"/>
    <x:col min="2" max="3" width="9.3984375" customWidth="1"/>
    <x:col min="4" max="4" width="16.09765625" customWidth="1"/>
    <x:col min="5" max="5" width="15" customWidth="1"/>
    <x:col min="6" max="7" width="16.09765625" customWidth="1"/>
    <x:col min="8" max="8" width="11.09765625" customWidth="1"/>
  </x:cols>
  <x:sheetData>
    <x:row r="1" ht="28.049999237060547" customHeight="1">
      <x:c r="A1" s="35" t="s">
        <x:v>116</x:v>
      </x:c>
      <x:c r="B1" s="26"/>
      <x:c r="C1" s="26"/>
      <x:c r="D1" s="26"/>
      <x:c r="E1" s="26"/>
      <x:c r="F1" s="26"/>
      <x:c r="G1" s="26"/>
      <x:c r="H1" s="26"/>
    </x:row>
    <x:row r="2" ht="31.950000762939453" customHeight="1">
      <x:c r="A2" s="34" t="str">
        <x:v>Bảng quy đổi diện tích cooling pad sang số tấm. Mỗi kích thước là một lựa chọn tấm; khung mua riêng và không tính trong bảng này. Số lượng dùng ROUNDUP để không thiếu diện tích.</x:v>
      </x:c>
      <x:c r="B2" s="26"/>
      <x:c r="C2" s="26"/>
      <x:c r="D2" s="26"/>
      <x:c r="E2" s="26"/>
      <x:c r="F2" s="26"/>
      <x:c r="G2" s="26"/>
      <x:c r="H2" s="26"/>
    </x:row>
    <x:row r="4">
      <x:c r="A4" s="1" t="s">
        <x:v>117</x:v>
      </x:c>
      <x:c r="B4" s="1" t="s">
        <x:v>48</x:v>
      </x:c>
    </x:row>
    <x:row r="5">
      <x:c r="A5" s="2" t="s">
        <x:v>118</x:v>
      </x:c>
      <x:c r="B5" s="20" t="n">
        <x:f>'02_CoolingPad'!B23</x:f>
        <x:v>10.666666666666666</x:v>
      </x:c>
    </x:row>
    <x:row r="6">
      <x:c r="A6" s="2" t="s">
        <x:v>119</x:v>
      </x:c>
      <x:c r="B6" s="2" t="s">
        <x:v>120</x:v>
      </x:c>
    </x:row>
    <x:row r="7">
      <x:c r="A7" s="2" t="s">
        <x:v>13</x:v>
      </x:c>
      <x:c r="B7" s="2" t="str">
        <x:v>ROUNDUP(Diện tích cần / Diện tích một tấm đã chọn, 0)</x:v>
      </x:c>
    </x:row>
    <x:row r="9" ht="22.049999237060547" customHeight="1">
      <x:c r="A9" s="27" t="s">
        <x:v>121</x:v>
      </x:c>
      <x:c r="B9" s="26"/>
      <x:c r="C9" s="26"/>
      <x:c r="D9" s="26"/>
      <x:c r="E9" s="26"/>
      <x:c r="F9" s="26"/>
      <x:c r="G9" s="26"/>
      <x:c r="H9" s="26"/>
    </x:row>
    <x:row r="10" ht="27.600000381469727">
      <x:c r="A10" s="1" t="s">
        <x:v>122</x:v>
      </x:c>
      <x:c r="B10" s="1" t="s">
        <x:v>123</x:v>
      </x:c>
      <x:c r="C10" s="1" t="s">
        <x:v>124</x:v>
      </x:c>
      <x:c r="D10" s="1" t="str">
        <x:v>Diện tích 1 tấm (m²)</x:v>
      </x:c>
      <x:c r="E10" s="1" t="s">
        <x:v>125</x:v>
      </x:c>
      <x:c r="F10" s="1" t="s">
        <x:v>126</x:v>
      </x:c>
      <x:c r="G10" s="1" t="s">
        <x:v>127</x:v>
      </x:c>
      <x:c r="H10" s="1" t="s">
        <x:v>128</x:v>
      </x:c>
    </x:row>
    <x:row r="11">
      <x:c r="A11" s="2" t="s">
        <x:v>129</x:v>
      </x:c>
      <x:c r="B11" s="2">
        <x:v>1.8</x:v>
      </x:c>
      <x:c r="C11" s="2">
        <x:v>1.5</x:v>
      </x:c>
      <x:c r="D11" s="21" t="n">
        <x:f t="shared" ref="D11:D18" si="0">B11*C11</x:f>
        <x:v>2.7</x:v>
      </x:c>
      <x:c r="E11" s="16">
        <x:v>3</x:v>
      </x:c>
      <x:c r="F11" s="8" t="n">
        <x:f t="shared" ref="F11:F18" si="1">IFERROR(ROUNDUP($B$5/D11,0),"")</x:f>
        <x:v>4</x:v>
      </x:c>
      <x:c r="G11" s="15" t="n">
        <x:f t="shared" ref="G11:G18" si="2">IFERROR(D11*F11,"")</x:f>
        <x:v>10.8</x:v>
      </x:c>
      <x:c r="H11" s="8" t="str">
        <x:f t="shared" ref="H11:H18" si="3">IF(G11&gt;=$B$5,"Đạt","Thiếu")</x:f>
        <x:v>Đạt</x:v>
      </x:c>
    </x:row>
    <x:row r="12">
      <x:c r="A12" s="2" t="s">
        <x:v>130</x:v>
      </x:c>
      <x:c r="B12" s="2">
        <x:v>1.8</x:v>
      </x:c>
      <x:c r="C12" s="2">
        <x:v>1.8</x:v>
      </x:c>
      <x:c r="D12" s="21">
        <x:f t="shared" si="0"/>
        <x:v>3.24</x:v>
      </x:c>
      <x:c r="E12" s="16">
        <x:v>2</x:v>
      </x:c>
      <x:c r="F12" s="8">
        <x:f t="shared" si="1"/>
        <x:v>4</x:v>
      </x:c>
      <x:c r="G12" s="15">
        <x:f t="shared" si="2"/>
        <x:v>12.96</x:v>
      </x:c>
      <x:c r="H12" s="8" t="str">
        <x:f t="shared" si="3"/>
        <x:v>Đạt</x:v>
      </x:c>
    </x:row>
    <x:row r="13">
      <x:c r="A13" s="2" t="s">
        <x:v>131</x:v>
      </x:c>
      <x:c r="B13" s="2">
        <x:v>2.4</x:v>
      </x:c>
      <x:c r="C13" s="2">
        <x:v>1.5</x:v>
      </x:c>
      <x:c r="D13" s="21">
        <x:f t="shared" si="0"/>
        <x:v>3.5999999999999996</x:v>
      </x:c>
      <x:c r="E13" s="16">
        <x:v>2</x:v>
      </x:c>
      <x:c r="F13" s="8">
        <x:f t="shared" si="1"/>
        <x:v>3</x:v>
      </x:c>
      <x:c r="G13" s="15">
        <x:f t="shared" si="2"/>
        <x:v>10.799999999999999</x:v>
      </x:c>
      <x:c r="H13" s="8" t="str">
        <x:f t="shared" si="3"/>
        <x:v>Đạt</x:v>
      </x:c>
    </x:row>
    <x:row r="14">
      <x:c r="A14" s="2" t="s">
        <x:v>132</x:v>
      </x:c>
      <x:c r="B14" s="2">
        <x:v>2.4</x:v>
      </x:c>
      <x:c r="C14" s="2">
        <x:v>1.8</x:v>
      </x:c>
      <x:c r="D14" s="21">
        <x:f t="shared" si="0"/>
        <x:v>4.32</x:v>
      </x:c>
      <x:c r="E14" s="16">
        <x:v>2</x:v>
      </x:c>
      <x:c r="F14" s="8">
        <x:f t="shared" si="1"/>
        <x:v>3</x:v>
      </x:c>
      <x:c r="G14" s="15">
        <x:f t="shared" si="2"/>
        <x:v>12.96</x:v>
      </x:c>
      <x:c r="H14" s="8" t="str">
        <x:f t="shared" si="3"/>
        <x:v>Đạt</x:v>
      </x:c>
    </x:row>
    <x:row r="15">
      <x:c r="A15" s="2" t="s">
        <x:v>133</x:v>
      </x:c>
      <x:c r="B15" s="2">
        <x:v>3.6</x:v>
      </x:c>
      <x:c r="C15" s="2">
        <x:v>1.5</x:v>
      </x:c>
      <x:c r="D15" s="21">
        <x:f t="shared" si="0"/>
        <x:v>5.4</x:v>
      </x:c>
      <x:c r="E15" s="16">
        <x:v>1</x:v>
      </x:c>
      <x:c r="F15" s="8">
        <x:f t="shared" si="1"/>
        <x:v>2</x:v>
      </x:c>
      <x:c r="G15" s="15">
        <x:f t="shared" si="2"/>
        <x:v>10.8</x:v>
      </x:c>
      <x:c r="H15" s="8" t="str">
        <x:f t="shared" si="3"/>
        <x:v>Đạt</x:v>
      </x:c>
    </x:row>
    <x:row r="16">
      <x:c r="A16" s="2" t="s">
        <x:v>134</x:v>
      </x:c>
      <x:c r="B16" s="2">
        <x:v>3.6</x:v>
      </x:c>
      <x:c r="C16" s="2">
        <x:v>1.8</x:v>
      </x:c>
      <x:c r="D16" s="21">
        <x:f t="shared" si="0"/>
        <x:v>6.48</x:v>
      </x:c>
      <x:c r="E16" s="16">
        <x:v>1</x:v>
      </x:c>
      <x:c r="F16" s="8">
        <x:f t="shared" si="1"/>
        <x:v>2</x:v>
      </x:c>
      <x:c r="G16" s="15">
        <x:f t="shared" si="2"/>
        <x:v>12.96</x:v>
      </x:c>
      <x:c r="H16" s="8" t="str">
        <x:f t="shared" si="3"/>
        <x:v>Đạt</x:v>
      </x:c>
    </x:row>
    <x:row r="17">
      <x:c r="A17" s="2" t="s">
        <x:v>135</x:v>
      </x:c>
      <x:c r="B17" s="2">
        <x:v>4.2</x:v>
      </x:c>
      <x:c r="C17" s="2">
        <x:v>1.5</x:v>
      </x:c>
      <x:c r="D17" s="21">
        <x:f t="shared" si="0"/>
        <x:v>6.3000000000000007</x:v>
      </x:c>
      <x:c r="E17" s="16">
        <x:v>1</x:v>
      </x:c>
      <x:c r="F17" s="8">
        <x:f t="shared" si="1"/>
        <x:v>2</x:v>
      </x:c>
      <x:c r="G17" s="15">
        <x:f t="shared" si="2"/>
        <x:v>12.600000000000001</x:v>
      </x:c>
      <x:c r="H17" s="8" t="str">
        <x:f t="shared" si="3"/>
        <x:v>Đạt</x:v>
      </x:c>
    </x:row>
    <x:row r="18">
      <x:c r="A18" s="2" t="s">
        <x:v>136</x:v>
      </x:c>
      <x:c r="B18" s="2">
        <x:v>4.2</x:v>
      </x:c>
      <x:c r="C18" s="2">
        <x:v>1.8</x:v>
      </x:c>
      <x:c r="D18" s="21">
        <x:f t="shared" si="0"/>
        <x:v>7.5600000000000005</x:v>
      </x:c>
      <x:c r="E18" s="16">
        <x:v>1</x:v>
      </x:c>
      <x:c r="F18" s="8">
        <x:f t="shared" si="1"/>
        <x:v>2</x:v>
      </x:c>
      <x:c r="G18" s="15">
        <x:f t="shared" si="2"/>
        <x:v>15.120000000000001</x:v>
      </x:c>
      <x:c r="H18" s="8" t="str">
        <x:f t="shared" si="3"/>
        <x:v>Đạt</x:v>
      </x:c>
    </x:row>
    <x:row r="20" ht="22.049999237060547" customHeight="1">
      <x:c r="A20" s="38" t="str">
        <x:v>QUY TẮC COOLING PAD ĐÃ CHỐT</x:v>
      </x:c>
      <x:c r="B20" s="26"/>
      <x:c r="C20" s="26"/>
      <x:c r="D20" s="26"/>
      <x:c r="E20" s="26"/>
      <x:c r="F20" s="26"/>
      <x:c r="G20" s="26"/>
      <x:c r="H20" s="26"/>
    </x:row>
    <x:row r="21">
      <x:c r="A21" s="1" t="s">
        <x:v>137</x:v>
      </x:c>
      <x:c r="B21" s="1" t="s">
        <x:v>4</x:v>
      </x:c>
      <x:c r="C21" s="1"/>
      <x:c r="D21" s="1"/>
      <x:c r="E21" s="1"/>
      <x:c r="F21" s="1"/>
      <x:c r="G21" s="1"/>
      <x:c r="H21" s="1"/>
    </x:row>
    <x:row r="22" ht="48" customHeight="1">
      <x:c r="A22" s="22" t="s">
        <x:v>138</x:v>
      </x:c>
      <x:c r="B22" s="37" t="str">
        <x:v>Các kích thước ghi trong bảng là những lựa chọn tấm làm mát. Diện tích tấm = chiều dài × chiều rộng. Khung được mua riêng, không tính tại đây.</x:v>
      </x:c>
      <x:c r="C22" s="29"/>
      <x:c r="D22" s="29"/>
      <x:c r="E22" s="29"/>
      <x:c r="F22" s="29"/>
      <x:c r="G22" s="29"/>
      <x:c r="H22" s="30"/>
    </x:row>
    <x:row r="23" ht="48" customHeight="1">
      <x:c r="A23" s="22" t="s">
        <x:v>139</x:v>
      </x:c>
      <x:c r="B23" s="37" t="str">
        <x:v>Độ dày 150 mm là thông số sản phẩm, không tham gia công thức tính diện tích tấm.</x:v>
      </x:c>
      <x:c r="C23" s="29"/>
      <x:c r="D23" s="29"/>
      <x:c r="E23" s="29"/>
      <x:c r="F23" s="29"/>
      <x:c r="G23" s="29"/>
      <x:c r="H23" s="30"/>
    </x:row>
    <x:row r="24" ht="48" customHeight="1">
      <x:c r="A24" s="22" t="s">
        <x:v>140</x:v>
      </x:c>
      <x:c r="B24" s="37" t="str">
        <x:v>Số lượng phải dùng ROUNDUP để tổng diện tích tấm không nhỏ hơn diện tích yêu cầu.</x:v>
      </x:c>
      <x:c r="C24" s="29"/>
      <x:c r="D24" s="29"/>
      <x:c r="E24" s="29"/>
      <x:c r="F24" s="29"/>
      <x:c r="G24" s="29"/>
      <x:c r="H24" s="30"/>
    </x:row>
    <x:row r="25" ht="48" customHeight="1">
      <x:c r="A25" s="22" t="s">
        <x:v>141</x:v>
      </x:c>
      <x:c r="B25" s="37" t="str">
        <x:v>Khách chọn kích thước tấm phù hợp; website không tự cộng khung vào số lượng hoặc tổng diện tích tấm.</x:v>
      </x:c>
      <x:c r="C25" s="29"/>
      <x:c r="D25" s="29"/>
      <x:c r="E25" s="29"/>
      <x:c r="F25" s="29"/>
      <x:c r="G25" s="29"/>
      <x:c r="H25" s="30"/>
    </x:row>
  </x:sheetData>
  <x:mergeCells>
    <x:mergeCell ref="B24:H24"/>
    <x:mergeCell ref="B25:H25"/>
    <x:mergeCell ref="B23:H23"/>
    <x:mergeCell ref="A9:H9"/>
    <x:mergeCell ref="B22:H22"/>
    <x:mergeCell ref="A1:H1"/>
    <x:mergeCell ref="A20:H20"/>
    <x:mergeCell ref="A2:H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3.800000190734863"/>
  <x:cols>
    <x:col min="1" max="1" width="19.3984375" customWidth="1"/>
    <x:col min="2" max="2" width="16.09765625" customWidth="1"/>
    <x:col min="3" max="3" width="9.3984375" customWidth="1"/>
    <x:col min="4" max="4" width="8.296875" customWidth="1"/>
    <x:col min="5" max="5" width="10.59765625" customWidth="1"/>
    <x:col min="6" max="6" width="9.3984375" customWidth="1"/>
    <x:col min="7" max="7" width="12.19921875" customWidth="1"/>
    <x:col min="8" max="8" width="10.59765625" customWidth="1"/>
    <x:col min="9" max="9" width="16.69921875" customWidth="1"/>
    <x:col min="10" max="10" width="33.296875" customWidth="1"/>
  </x:cols>
  <x:sheetData>
    <x:row r="1" ht="28.049999237060547" customHeight="1">
      <x:c r="A1" s="35" t="s">
        <x:v>142</x:v>
      </x:c>
      <x:c r="B1" s="26"/>
      <x:c r="C1" s="26"/>
      <x:c r="D1" s="26"/>
      <x:c r="E1" s="26"/>
      <x:c r="F1" s="26"/>
      <x:c r="G1" s="26"/>
      <x:c r="H1" s="26"/>
      <x:c r="I1" s="26"/>
      <x:c r="J1" s="26"/>
    </x:row>
    <x:row r="2" ht="31.950000762939453" customHeight="1">
      <x:c r="A2" s="34" t="s">
        <x:v>143</x:v>
      </x:c>
      <x:c r="B2" s="26"/>
      <x:c r="C2" s="26"/>
      <x:c r="D2" s="26"/>
      <x:c r="E2" s="26"/>
      <x:c r="F2" s="26"/>
      <x:c r="G2" s="26"/>
      <x:c r="H2" s="26"/>
      <x:c r="I2" s="26"/>
      <x:c r="J2" s="26"/>
    </x:row>
    <x:row r="4" ht="27.600000381469727">
      <x:c r="A4" s="1" t="s">
        <x:v>144</x:v>
      </x:c>
      <x:c r="B4" s="1" t="s">
        <x:v>145</x:v>
      </x:c>
      <x:c r="C4" s="1" t="s">
        <x:v>146</x:v>
      </x:c>
      <x:c r="D4" s="1" t="s">
        <x:v>147</x:v>
      </x:c>
      <x:c r="E4" s="1" t="s">
        <x:v>148</x:v>
      </x:c>
      <x:c r="F4" s="1" t="s">
        <x:v>149</x:v>
      </x:c>
      <x:c r="G4" s="1" t="s">
        <x:v>150</x:v>
      </x:c>
      <x:c r="H4" s="1" t="s">
        <x:v>151</x:v>
      </x:c>
      <x:c r="I4" s="1" t="s">
        <x:v>152</x:v>
      </x:c>
      <x:c r="J4" s="1" t="s">
        <x:v>153</x:v>
      </x:c>
    </x:row>
    <x:row r="5">
      <x:c r="A5" s="3" t="s">
        <x:v>154</x:v>
      </x:c>
      <x:c r="B5" s="3" t="s">
        <x:v>155</x:v>
      </x:c>
      <x:c r="C5" s="3" t="s">
        <x:v>156</x:v>
      </x:c>
      <x:c r="D5" s="3"/>
      <x:c r="E5" s="3" t="s">
        <x:v>157</x:v>
      </x:c>
      <x:c r="F5" s="3" t="s">
        <x:v>158</x:v>
      </x:c>
      <x:c r="G5" s="3" t="s">
        <x:v>158</x:v>
      </x:c>
      <x:c r="H5" s="3" t="s">
        <x:v>157</x:v>
      </x:c>
      <x:c r="I5" s="3" t="s">
        <x:v>159</x:v>
      </x:c>
      <x:c r="J5" s="3" t="s">
        <x:v>160</x:v>
      </x:c>
    </x:row>
    <x:row r="6" ht="27.600000381469727">
      <x:c r="A6" s="3" t="s">
        <x:v>89</x:v>
      </x:c>
      <x:c r="B6" s="3" t="s">
        <x:v>161</x:v>
      </x:c>
      <x:c r="C6" s="3" t="s">
        <x:v>162</x:v>
      </x:c>
      <x:c r="D6" s="3"/>
      <x:c r="E6" s="3" t="s">
        <x:v>157</x:v>
      </x:c>
      <x:c r="F6" s="3" t="s">
        <x:v>158</x:v>
      </x:c>
      <x:c r="G6" s="3" t="s">
        <x:v>158</x:v>
      </x:c>
      <x:c r="H6" s="3" t="s">
        <x:v>157</x:v>
      </x:c>
      <x:c r="I6" s="3" t="s">
        <x:v>163</x:v>
      </x:c>
      <x:c r="J6" s="3" t="s">
        <x:v>164</x:v>
      </x:c>
    </x:row>
    <x:row r="7" ht="27.600000381469727">
      <x:c r="A7" s="3" t="s">
        <x:v>165</x:v>
      </x:c>
      <x:c r="B7" s="3" t="s">
        <x:v>166</x:v>
      </x:c>
      <x:c r="C7" s="3" t="s">
        <x:v>162</x:v>
      </x:c>
      <x:c r="D7" s="3"/>
      <x:c r="E7" s="3" t="s">
        <x:v>157</x:v>
      </x:c>
      <x:c r="F7" s="3" t="s">
        <x:v>158</x:v>
      </x:c>
      <x:c r="G7" s="3" t="s">
        <x:v>158</x:v>
      </x:c>
      <x:c r="H7" s="3" t="s">
        <x:v>157</x:v>
      </x:c>
      <x:c r="I7" s="3" t="s">
        <x:v>163</x:v>
      </x:c>
      <x:c r="J7" s="3" t="s">
        <x:v>167</x:v>
      </x:c>
    </x:row>
    <x:row r="8">
      <x:c r="A8" s="3" t="s">
        <x:v>168</x:v>
      </x:c>
      <x:c r="B8" s="3" t="s">
        <x:v>169</x:v>
      </x:c>
      <x:c r="C8" s="3" t="s">
        <x:v>156</x:v>
      </x:c>
      <x:c r="D8" s="3"/>
      <x:c r="E8" s="3" t="s">
        <x:v>157</x:v>
      </x:c>
      <x:c r="F8" s="3" t="s">
        <x:v>158</x:v>
      </x:c>
      <x:c r="G8" s="3" t="s">
        <x:v>158</x:v>
      </x:c>
      <x:c r="H8" s="3" t="s">
        <x:v>158</x:v>
      </x:c>
      <x:c r="I8" s="3" t="s">
        <x:v>159</x:v>
      </x:c>
      <x:c r="J8" s="3" t="s">
        <x:v>170</x:v>
      </x:c>
    </x:row>
    <x:row r="9" ht="27.600000381469727">
      <x:c r="A9" s="3" t="s">
        <x:v>171</x:v>
      </x:c>
      <x:c r="B9" s="3" t="s">
        <x:v>172</x:v>
      </x:c>
      <x:c r="C9" s="3" t="s">
        <x:v>162</x:v>
      </x:c>
      <x:c r="D9" s="3"/>
      <x:c r="E9" s="3" t="s">
        <x:v>157</x:v>
      </x:c>
      <x:c r="F9" s="3" t="s">
        <x:v>158</x:v>
      </x:c>
      <x:c r="G9" s="3" t="s">
        <x:v>157</x:v>
      </x:c>
      <x:c r="H9" s="3" t="s">
        <x:v>157</x:v>
      </x:c>
      <x:c r="I9" s="3" t="s">
        <x:v>163</x:v>
      </x:c>
      <x:c r="J9" s="3"/>
    </x:row>
    <x:row r="10" ht="27.600000381469727">
      <x:c r="A10" s="3" t="s">
        <x:v>173</x:v>
      </x:c>
      <x:c r="B10" s="3" t="s">
        <x:v>174</x:v>
      </x:c>
      <x:c r="C10" s="3" t="s">
        <x:v>162</x:v>
      </x:c>
      <x:c r="D10" s="3"/>
      <x:c r="E10" s="3" t="s">
        <x:v>157</x:v>
      </x:c>
      <x:c r="F10" s="3" t="s">
        <x:v>157</x:v>
      </x:c>
      <x:c r="G10" s="3" t="s">
        <x:v>157</x:v>
      </x:c>
      <x:c r="H10" s="3" t="s">
        <x:v>157</x:v>
      </x:c>
      <x:c r="I10" s="3" t="s">
        <x:v>163</x:v>
      </x:c>
      <x:c r="J10" s="3"/>
    </x:row>
    <x:row r="11" ht="27.600000381469727">
      <x:c r="A11" s="3" t="s">
        <x:v>175</x:v>
      </x:c>
      <x:c r="B11" s="3" t="s">
        <x:v>176</x:v>
      </x:c>
      <x:c r="C11" s="3" t="s">
        <x:v>162</x:v>
      </x:c>
      <x:c r="D11" s="3" t="s">
        <x:v>177</x:v>
      </x:c>
      <x:c r="E11" s="3" t="s">
        <x:v>178</x:v>
      </x:c>
      <x:c r="F11" s="3" t="s">
        <x:v>157</x:v>
      </x:c>
      <x:c r="G11" s="3" t="s">
        <x:v>157</x:v>
      </x:c>
      <x:c r="H11" s="3" t="s">
        <x:v>157</x:v>
      </x:c>
      <x:c r="I11" s="3" t="s">
        <x:v>163</x:v>
      </x:c>
      <x:c r="J11" s="3" t="s">
        <x:v>179</x:v>
      </x:c>
    </x:row>
    <x:row r="12" ht="27.600000381469727">
      <x:c r="A12" s="3" t="s">
        <x:v>180</x:v>
      </x:c>
      <x:c r="B12" s="3" t="s">
        <x:v>181</x:v>
      </x:c>
      <x:c r="C12" s="3" t="s">
        <x:v>162</x:v>
      </x:c>
      <x:c r="D12" s="3" t="s">
        <x:v>177</x:v>
      </x:c>
      <x:c r="E12" s="3" t="s">
        <x:v>182</x:v>
      </x:c>
      <x:c r="F12" s="3" t="s">
        <x:v>157</x:v>
      </x:c>
      <x:c r="G12" s="3" t="s">
        <x:v>157</x:v>
      </x:c>
      <x:c r="H12" s="3" t="s">
        <x:v>157</x:v>
      </x:c>
      <x:c r="I12" s="3" t="s">
        <x:v>163</x:v>
      </x:c>
      <x:c r="J12" s="3"/>
    </x:row>
    <x:row r="13" ht="27.600000381469727">
      <x:c r="A13" s="3" t="s">
        <x:v>61</x:v>
      </x:c>
      <x:c r="B13" s="3" t="s">
        <x:v>183</x:v>
      </x:c>
      <x:c r="C13" s="3" t="s">
        <x:v>184</x:v>
      </x:c>
      <x:c r="D13" s="3" t="s">
        <x:v>185</x:v>
      </x:c>
      <x:c r="E13" s="3" t="s">
        <x:v>157</x:v>
      </x:c>
      <x:c r="F13" s="3" t="s">
        <x:v>157</x:v>
      </x:c>
      <x:c r="G13" s="3" t="s">
        <x:v>186</x:v>
      </x:c>
      <x:c r="H13" s="3" t="s">
        <x:v>187</x:v>
      </x:c>
      <x:c r="I13" s="3" t="s">
        <x:v>163</x:v>
      </x:c>
      <x:c r="J13" s="3" t="s">
        <x:v>188</x:v>
      </x:c>
    </x:row>
    <x:row r="14" ht="27.600000381469727">
      <x:c r="A14" s="3" t="s">
        <x:v>189</x:v>
      </x:c>
      <x:c r="B14" s="3" t="s">
        <x:v>190</x:v>
      </x:c>
      <x:c r="C14" s="3" t="s">
        <x:v>191</x:v>
      </x:c>
      <x:c r="D14" s="3" t="s">
        <x:v>192</x:v>
      </x:c>
      <x:c r="E14" s="3" t="s">
        <x:v>157</x:v>
      </x:c>
      <x:c r="F14" s="3" t="s">
        <x:v>158</x:v>
      </x:c>
      <x:c r="G14" s="3" t="s">
        <x:v>158</x:v>
      </x:c>
      <x:c r="H14" s="3" t="s">
        <x:v>157</x:v>
      </x:c>
      <x:c r="I14" s="3" t="s">
        <x:v>163</x:v>
      </x:c>
      <x:c r="J14" s="3"/>
    </x:row>
    <x:row r="15" ht="27.600000381469727">
      <x:c r="A15" s="3" t="s">
        <x:v>193</x:v>
      </x:c>
      <x:c r="B15" s="3" t="s">
        <x:v>194</x:v>
      </x:c>
      <x:c r="C15" s="3" t="s">
        <x:v>191</x:v>
      </x:c>
      <x:c r="D15" s="3" t="s">
        <x:v>195</x:v>
      </x:c>
      <x:c r="E15" s="3" t="s">
        <x:v>157</x:v>
      </x:c>
      <x:c r="F15" s="3" t="s">
        <x:v>157</x:v>
      </x:c>
      <x:c r="G15" s="3" t="s">
        <x:v>158</x:v>
      </x:c>
      <x:c r="H15" s="3" t="s">
        <x:v>157</x:v>
      </x:c>
      <x:c r="I15" s="3" t="s">
        <x:v>163</x:v>
      </x:c>
      <x:c r="J15" s="3" t="str">
        <x:v>Chỉ áp dụng cho quạt. Tấm/khung để trống; dữ liệu chính thức lấy từ database website.</x:v>
      </x:c>
    </x:row>
    <x:row r="16">
      <x:c r="A16" s="3" t="s">
        <x:v>196</x:v>
      </x:c>
      <x:c r="B16" s="3" t="s">
        <x:v>197</x:v>
      </x:c>
      <x:c r="C16" s="3" t="s">
        <x:v>191</x:v>
      </x:c>
      <x:c r="D16" s="3" t="s">
        <x:v>198</x:v>
      </x:c>
      <x:c r="E16" s="3" t="s">
        <x:v>157</x:v>
      </x:c>
      <x:c r="F16" s="3" t="s">
        <x:v>199</x:v>
      </x:c>
      <x:c r="G16" s="3" t="s">
        <x:v>157</x:v>
      </x:c>
      <x:c r="H16" s="3" t="s">
        <x:v>157</x:v>
      </x:c>
      <x:c r="I16" s="3" t="s">
        <x:v>200</x:v>
      </x:c>
      <x:c r="J16" s="3" t="s">
        <x:v>201</x:v>
      </x:c>
    </x:row>
    <x:row r="17">
      <x:c r="A17" s="3" t="s">
        <x:v>202</x:v>
      </x:c>
      <x:c r="B17" s="3" t="s">
        <x:v>203</x:v>
      </x:c>
      <x:c r="C17" s="3" t="s">
        <x:v>204</x:v>
      </x:c>
      <x:c r="D17" s="3"/>
      <x:c r="E17" s="3" t="s">
        <x:v>157</x:v>
      </x:c>
      <x:c r="F17" s="3" t="s">
        <x:v>157</x:v>
      </x:c>
      <x:c r="G17" s="3" t="s">
        <x:v>158</x:v>
      </x:c>
      <x:c r="H17" s="3" t="s">
        <x:v>158</x:v>
      </x:c>
      <x:c r="I17" s="3" t="s">
        <x:v>205</x:v>
      </x:c>
      <x:c r="J17" s="3"/>
    </x:row>
    <x:row r="18">
      <x:c r="A18" s="3" t="s">
        <x:v>206</x:v>
      </x:c>
      <x:c r="B18" s="3" t="s">
        <x:v>207</x:v>
      </x:c>
      <x:c r="C18" s="3" t="s">
        <x:v>204</x:v>
      </x:c>
      <x:c r="D18" s="3"/>
      <x:c r="E18" s="3" t="s">
        <x:v>157</x:v>
      </x:c>
      <x:c r="F18" s="3" t="s">
        <x:v>157</x:v>
      </x:c>
      <x:c r="G18" s="3" t="s">
        <x:v>158</x:v>
      </x:c>
      <x:c r="H18" s="3" t="s">
        <x:v>158</x:v>
      </x:c>
      <x:c r="I18" s="3" t="s">
        <x:v>205</x:v>
      </x:c>
      <x:c r="J18" s="3"/>
    </x:row>
    <x:row r="19" ht="27.600000381469727">
      <x:c r="A19" s="3" t="s">
        <x:v>208</x:v>
      </x:c>
      <x:c r="B19" s="3" t="s">
        <x:v>209</x:v>
      </x:c>
      <x:c r="C19" s="3" t="s">
        <x:v>191</x:v>
      </x:c>
      <x:c r="D19" s="3" t="s">
        <x:v>210</x:v>
      </x:c>
      <x:c r="E19" s="3" t="s">
        <x:v>211</x:v>
      </x:c>
      <x:c r="F19" s="3" t="s">
        <x:v>157</x:v>
      </x:c>
      <x:c r="G19" s="3" t="s">
        <x:v>158</x:v>
      </x:c>
      <x:c r="H19" s="3" t="s">
        <x:v>157</x:v>
      </x:c>
      <x:c r="I19" s="3" t="s">
        <x:v>212</x:v>
      </x:c>
      <x:c r="J19" s="3" t="str">
        <x:v>Tính từ chiều dài × chiều rộng của tấm; dữ liệu kích thước lấy từ database.</x:v>
      </x:c>
    </x:row>
    <x:row r="20" ht="27.600000381469727">
      <x:c r="A20" s="3" t="s">
        <x:v>213</x:v>
      </x:c>
      <x:c r="B20" s="3" t="s">
        <x:v>214</x:v>
      </x:c>
      <x:c r="C20" s="3" t="s">
        <x:v>191</x:v>
      </x:c>
      <x:c r="D20" s="3" t="s">
        <x:v>177</x:v>
      </x:c>
      <x:c r="E20" s="3" t="s">
        <x:v>211</x:v>
      </x:c>
      <x:c r="F20" s="3" t="s">
        <x:v>215</x:v>
      </x:c>
      <x:c r="G20" s="3" t="s">
        <x:v>158</x:v>
      </x:c>
      <x:c r="H20" s="3" t="s">
        <x:v>216</x:v>
      </x:c>
      <x:c r="I20" s="3" t="s">
        <x:v>163</x:v>
      </x:c>
      <x:c r="J20" s="3" t="str">
        <x:v>Độ dày 150 mm chỉ là thông số hiển thị/lọc nếu cần; không tham gia tính diện tích.</x:v>
      </x:c>
    </x:row>
  </x:sheetData>
  <x:mergeCells>
    <x:mergeCell ref="A1:J1"/>
    <x:mergeCell ref="A2:J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3.800000190734863"/>
  <x:cols>
    <x:col min="1" max="1" width="36.69921875" customWidth="1"/>
    <x:col min="2" max="2" width="10" customWidth="1"/>
    <x:col min="3" max="3" width="28.8984375" customWidth="1"/>
    <x:col min="4" max="4" width="3.8984375" customWidth="1"/>
    <x:col min="5" max="5" width="34.3984375" customWidth="1"/>
    <x:col min="6" max="6" width="10.59765625" customWidth="1"/>
    <x:col min="7" max="7" width="25.59765625" customWidth="1"/>
  </x:cols>
  <x:sheetData>
    <x:row r="1" ht="28.049999237060547" customHeight="1">
      <x:c r="A1" s="35" t="s">
        <x:v>217</x:v>
      </x:c>
      <x:c r="B1" s="26"/>
      <x:c r="C1" s="26"/>
      <x:c r="D1" s="26"/>
      <x:c r="E1" s="26"/>
      <x:c r="F1" s="26"/>
      <x:c r="G1" s="26"/>
    </x:row>
    <x:row r="2" ht="31.950000762939453" customHeight="1">
      <x:c r="A2" s="34" t="s">
        <x:v>218</x:v>
      </x:c>
      <x:c r="B2" s="26"/>
      <x:c r="C2" s="26"/>
      <x:c r="D2" s="26"/>
      <x:c r="E2" s="26"/>
      <x:c r="F2" s="26"/>
      <x:c r="G2" s="26"/>
    </x:row>
    <x:row r="4" ht="22.049999237060547" customHeight="1">
      <x:c r="A4" s="36" t="s">
        <x:v>219</x:v>
      </x:c>
      <x:c r="B4" s="26"/>
      <x:c r="C4" s="26"/>
      <x:c r="D4" s="4"/>
      <x:c r="E4" s="36" t="s">
        <x:v>220</x:v>
      </x:c>
      <x:c r="F4" s="26"/>
      <x:c r="G4" s="26"/>
    </x:row>
    <x:row r="5">
      <x:c r="A5" s="1" t="s">
        <x:v>221</x:v>
      </x:c>
      <x:c r="B5" s="1" t="s">
        <x:v>222</x:v>
      </x:c>
      <x:c r="C5" s="1" t="s">
        <x:v>153</x:v>
      </x:c>
      <x:c r="D5" s="4"/>
      <x:c r="E5" s="1" t="s">
        <x:v>221</x:v>
      </x:c>
      <x:c r="F5" s="1" t="s">
        <x:v>222</x:v>
      </x:c>
      <x:c r="G5" s="1" t="s">
        <x:v>153</x:v>
      </x:c>
    </x:row>
    <x:row r="6">
      <x:c r="A6" s="3" t="s">
        <x:v>223</x:v>
      </x:c>
      <x:c r="B6" s="3">
        <x:v>10</x:v>
      </x:c>
      <x:c r="C6" s="3"/>
      <x:c r="D6" s="4"/>
      <x:c r="E6" s="3" t="s">
        <x:v>224</x:v>
      </x:c>
      <x:c r="F6" s="3" t="s">
        <x:v>225</x:v>
      </x:c>
      <x:c r="G6" s="3"/>
    </x:row>
    <x:row r="7" ht="27.600000381469727">
      <x:c r="A7" s="3" t="s">
        <x:v>226</x:v>
      </x:c>
      <x:c r="B7" s="3">
        <x:v>20</x:v>
      </x:c>
      <x:c r="C7" s="3" t="s">
        <x:v>227</x:v>
      </x:c>
      <x:c r="D7" s="4"/>
      <x:c r="E7" s="3" t="s">
        <x:v>228</x:v>
      </x:c>
      <x:c r="F7" s="3" t="s">
        <x:v>229</x:v>
      </x:c>
      <x:c r="G7" s="3"/>
    </x:row>
    <x:row r="8" ht="27.600000381469727">
      <x:c r="A8" s="3" t="s">
        <x:v>230</x:v>
      </x:c>
      <x:c r="B8" s="3">
        <x:v>40</x:v>
      </x:c>
      <x:c r="C8" s="3" t="s">
        <x:v>231</x:v>
      </x:c>
      <x:c r="D8" s="4"/>
      <x:c r="E8" s="3" t="s">
        <x:v>232</x:v>
      </x:c>
      <x:c r="F8" s="3" t="s">
        <x:v>233</x:v>
      </x:c>
      <x:c r="G8" s="3"/>
    </x:row>
    <x:row r="9" ht="27.600000381469727">
      <x:c r="A9" s="3" t="s">
        <x:v>234</x:v>
      </x:c>
      <x:c r="B9" s="3">
        <x:v>60</x:v>
      </x:c>
      <x:c r="C9" s="3" t="s">
        <x:v>235</x:v>
      </x:c>
      <x:c r="D9" s="4"/>
      <x:c r="E9" s="3" t="s">
        <x:v>236</x:v>
      </x:c>
      <x:c r="F9" s="3" t="s">
        <x:v>225</x:v>
      </x:c>
      <x:c r="G9" s="3"/>
    </x:row>
    <x:row r="10">
      <x:c r="A10" s="3" t="s">
        <x:v>237</x:v>
      </x:c>
      <x:c r="B10" s="3">
        <x:v>40</x:v>
      </x:c>
      <x:c r="C10" s="3"/>
      <x:c r="D10" s="4"/>
      <x:c r="E10" s="3" t="s">
        <x:v>238</x:v>
      </x:c>
      <x:c r="F10" s="3" t="s">
        <x:v>225</x:v>
      </x:c>
      <x:c r="G10" s="3"/>
    </x:row>
    <x:row r="11" ht="27.600000381469727">
      <x:c r="A11" s="3" t="s">
        <x:v>239</x:v>
      </x:c>
      <x:c r="B11" s="3">
        <x:v>25</x:v>
      </x:c>
      <x:c r="C11" s="3" t="s">
        <x:v>240</x:v>
      </x:c>
      <x:c r="D11" s="4"/>
      <x:c r="E11" s="3" t="s">
        <x:v>241</x:v>
      </x:c>
      <x:c r="F11" s="3" t="s">
        <x:v>242</x:v>
      </x:c>
      <x:c r="G11" s="3"/>
    </x:row>
    <x:row r="12">
      <x:c r="A12" s="3" t="s">
        <x:v>243</x:v>
      </x:c>
      <x:c r="B12" s="3">
        <x:v>20</x:v>
      </x:c>
      <x:c r="C12" s="3"/>
      <x:c r="D12" s="4"/>
      <x:c r="E12" s="3" t="s">
        <x:v>244</x:v>
      </x:c>
      <x:c r="F12" s="3" t="s">
        <x:v>245</x:v>
      </x:c>
      <x:c r="G12" s="3"/>
    </x:row>
    <x:row r="13">
      <x:c r="A13" s="3" t="s">
        <x:v>246</x:v>
      </x:c>
      <x:c r="B13" s="3">
        <x:v>10</x:v>
      </x:c>
      <x:c r="C13" s="3"/>
      <x:c r="D13" s="4"/>
      <x:c r="E13" s="3" t="s">
        <x:v>247</x:v>
      </x:c>
      <x:c r="F13" s="3" t="s">
        <x:v>248</x:v>
      </x:c>
      <x:c r="G13" s="3"/>
    </x:row>
    <x:row r="14">
      <x:c r="A14" s="4"/>
      <x:c r="B14" s="4"/>
      <x:c r="C14" s="4"/>
      <x:c r="D14" s="4"/>
      <x:c r="E14" s="3" t="s">
        <x:v>249</x:v>
      </x:c>
      <x:c r="F14" s="3" t="s">
        <x:v>250</x:v>
      </x:c>
      <x:c r="G14" s="3"/>
    </x:row>
    <x:row r="15">
      <x:c r="A15" s="1" t="s">
        <x:v>251</x:v>
      </x:c>
      <x:c r="B15" s="1"/>
      <x:c r="C15" s="1"/>
      <x:c r="D15" s="1"/>
      <x:c r="E15" s="1"/>
      <x:c r="F15" s="1"/>
      <x:c r="G15" s="1"/>
    </x:row>
    <x:row r="16" ht="46.04999923706055" customHeight="1">
      <x:c r="A16" s="22" t="s">
        <x:v>252</x:v>
      </x:c>
      <x:c r="B16" s="37" t="s">
        <x:v>253</x:v>
      </x:c>
      <x:c r="C16" s="29"/>
      <x:c r="D16" s="29"/>
      <x:c r="E16" s="29"/>
      <x:c r="F16" s="29"/>
      <x:c r="G16" s="30"/>
    </x:row>
    <x:row r="17" ht="46.04999923706055" customHeight="1">
      <x:c r="A17" s="22" t="s">
        <x:v>254</x:v>
      </x:c>
      <x:c r="B17" s="37" t="s">
        <x:v>255</x:v>
      </x:c>
      <x:c r="C17" s="29"/>
      <x:c r="D17" s="29"/>
      <x:c r="E17" s="29"/>
      <x:c r="F17" s="29"/>
      <x:c r="G17" s="30"/>
    </x:row>
    <x:row r="18" ht="46.04999923706055" customHeight="1">
      <x:c r="A18" s="22"/>
      <x:c r="B18" s="37"/>
      <x:c r="C18" s="29"/>
      <x:c r="D18" s="29"/>
      <x:c r="E18" s="29"/>
      <x:c r="F18" s="29"/>
      <x:c r="G18" s="30"/>
    </x:row>
    <x:row r="19">
      <x:c r="A19" s="4"/>
      <x:c r="B19" s="4"/>
      <x:c r="C19" s="4"/>
      <x:c r="D19" s="4"/>
      <x:c r="E19" s="3" t="s">
        <x:v>256</x:v>
      </x:c>
      <x:c r="F19" s="3" t="s">
        <x:v>257</x:v>
      </x:c>
      <x:c r="G19" s="3"/>
    </x:row>
    <x:row r="20">
      <x:c r="A20" s="4"/>
      <x:c r="B20" s="4"/>
      <x:c r="C20" s="4"/>
      <x:c r="D20" s="4"/>
      <x:c r="E20" s="3" t="s">
        <x:v>258</x:v>
      </x:c>
      <x:c r="F20" s="3" t="s">
        <x:v>225</x:v>
      </x:c>
      <x:c r="G20" s="3"/>
    </x:row>
    <x:row r="21">
      <x:c r="A21" s="4"/>
      <x:c r="B21" s="4"/>
      <x:c r="C21" s="4"/>
      <x:c r="D21" s="4"/>
      <x:c r="E21" s="3" t="s">
        <x:v>259</x:v>
      </x:c>
      <x:c r="F21" s="3" t="s">
        <x:v>242</x:v>
      </x:c>
      <x:c r="G21" s="3"/>
    </x:row>
    <x:row r="22">
      <x:c r="A22" s="4"/>
      <x:c r="B22" s="4"/>
      <x:c r="C22" s="4"/>
      <x:c r="D22" s="4"/>
      <x:c r="E22" s="4"/>
      <x:c r="F22" s="4"/>
      <x:c r="G22" s="4"/>
    </x:row>
    <x:row r="23">
      <x:c r="A23" s="4"/>
      <x:c r="B23" s="4"/>
      <x:c r="C23" s="4"/>
      <x:c r="D23" s="4"/>
      <x:c r="E23" s="4"/>
      <x:c r="F23" s="4"/>
      <x:c r="G23" s="4"/>
    </x:row>
    <x:row r="24">
      <x:c r="A24" s="4"/>
      <x:c r="B24" s="4"/>
      <x:c r="C24" s="4"/>
      <x:c r="D24" s="4"/>
      <x:c r="E24" s="4"/>
      <x:c r="F24" s="4"/>
      <x:c r="G24" s="4"/>
    </x:row>
    <x:row r="25">
      <x:c r="A25" s="4"/>
      <x:c r="B25" s="4"/>
      <x:c r="C25" s="4"/>
      <x:c r="D25" s="4"/>
      <x:c r="E25" s="4"/>
      <x:c r="F25" s="4"/>
      <x:c r="G25" s="4"/>
    </x:row>
  </x:sheetData>
  <x:mergeCells>
    <x:mergeCell ref="B18:G18"/>
    <x:mergeCell ref="A4:C4"/>
    <x:mergeCell ref="B16:G16"/>
    <x:mergeCell ref="A1:G1"/>
    <x:mergeCell ref="B17:G17"/>
    <x:mergeCell ref="A2:G2"/>
    <x:mergeCell ref="E4:G4"/>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3.800000190734863"/>
  <x:cols>
    <x:col min="1" max="1" width="9.3984375" customWidth="1"/>
    <x:col min="2" max="2" width="23.296875" customWidth="1"/>
    <x:col min="3" max="3" width="10" customWidth="1"/>
    <x:col min="4" max="4" width="11.09765625" customWidth="1"/>
    <x:col min="5" max="5" width="9.3984375" customWidth="1"/>
    <x:col min="6" max="6" width="13.296875" customWidth="1"/>
    <x:col min="7" max="8" width="13.8984375" customWidth="1"/>
    <x:col min="9" max="9" width="16.09765625" customWidth="1"/>
    <x:col min="10" max="10" width="10.59765625" customWidth="1"/>
    <x:col min="11" max="11" width="20" customWidth="1"/>
  </x:cols>
  <x:sheetData>
    <x:row r="1" ht="28.049999237060547" customHeight="1">
      <x:c r="A1" s="35" t="s">
        <x:v>260</x:v>
      </x:c>
      <x:c r="B1" s="26"/>
      <x:c r="C1" s="26"/>
      <x:c r="D1" s="26"/>
      <x:c r="E1" s="26"/>
      <x:c r="F1" s="26"/>
      <x:c r="G1" s="26"/>
      <x:c r="H1" s="26"/>
      <x:c r="I1" s="26"/>
      <x:c r="J1" s="26"/>
      <x:c r="K1" s="26"/>
    </x:row>
    <x:row r="2" ht="31.950000762939453" customHeight="1">
      <x:c r="A2" s="34" t="s">
        <x:v>261</x:v>
      </x:c>
      <x:c r="B2" s="26"/>
      <x:c r="C2" s="26"/>
      <x:c r="D2" s="26"/>
      <x:c r="E2" s="26"/>
      <x:c r="F2" s="26"/>
      <x:c r="G2" s="26"/>
      <x:c r="H2" s="26"/>
      <x:c r="I2" s="26"/>
      <x:c r="J2" s="26"/>
      <x:c r="K2" s="26"/>
    </x:row>
    <x:row r="4" ht="41.400001525878906">
      <x:c r="A4" s="1" t="s">
        <x:v>262</x:v>
      </x:c>
      <x:c r="B4" s="1" t="s">
        <x:v>263</x:v>
      </x:c>
      <x:c r="C4" s="1" t="s">
        <x:v>264</x:v>
      </x:c>
      <x:c r="D4" s="1" t="s">
        <x:v>265</x:v>
      </x:c>
      <x:c r="E4" s="1" t="s">
        <x:v>222</x:v>
      </x:c>
      <x:c r="F4" s="1" t="s">
        <x:v>266</x:v>
      </x:c>
      <x:c r="G4" s="1" t="s">
        <x:v>267</x:v>
      </x:c>
      <x:c r="H4" s="1" t="s">
        <x:v>268</x:v>
      </x:c>
      <x:c r="I4" s="1" t="s">
        <x:v>269</x:v>
      </x:c>
      <x:c r="J4" s="1" t="s">
        <x:v>270</x:v>
      </x:c>
      <x:c r="K4" s="1" t="s">
        <x:v>22</x:v>
      </x:c>
    </x:row>
    <x:row r="5">
      <x:c r="A5" s="3" t="s">
        <x:v>271</x:v>
      </x:c>
      <x:c r="B5" s="3" t="s">
        <x:v>272</x:v>
      </x:c>
      <x:c r="C5" s="3">
        <x:v>3000</x:v>
      </x:c>
      <x:c r="D5" s="3">
        <x:v>3</x:v>
      </x:c>
      <x:c r="E5" s="3">
        <x:v>20</x:v>
      </x:c>
      <x:c r="F5" s="13" t="n">
        <x:f t="shared" ref="F5:F10" si="0">C5*D5*E5</x:f>
        <x:v>180000</x:v>
      </x:c>
      <x:c r="G5" s="13">
        <x:v>46000</x:v>
      </x:c>
      <x:c r="H5" s="13" t="n">
        <x:f>IFERROR(ROUNDUP(F5/G5,0),"")</x:f>
        <x:v>4</x:v>
      </x:c>
      <x:c r="I5" s="13" t="n">
        <x:f>IFERROR(G5*H5,"")</x:f>
        <x:v>184000</x:v>
      </x:c>
      <x:c r="J5" s="12" t="n">
        <x:f>IFERROR(I5/F5-1,"")</x:f>
        <x:v>0.022222222222222143</x:v>
      </x:c>
      <x:c r="K5" s="3" t="s">
        <x:v>273</x:v>
      </x:c>
    </x:row>
    <x:row r="6">
      <x:c r="A6" s="3" t="s">
        <x:v>274</x:v>
      </x:c>
      <x:c r="B6" s="3" t="s">
        <x:v>272</x:v>
      </x:c>
      <x:c r="C6" s="3">
        <x:v>290</x:v>
      </x:c>
      <x:c r="D6" s="3">
        <x:v>3</x:v>
      </x:c>
      <x:c r="E6" s="3">
        <x:v>20</x:v>
      </x:c>
      <x:c r="F6" s="13">
        <x:f t="shared" si="0"/>
        <x:v>17400</x:v>
      </x:c>
      <x:c r="G6" s="13">
        <x:v>3080</x:v>
      </x:c>
      <x:c r="H6" s="13" t="n">
        <x:f>IFERROR(ROUNDUP(F6/G6,0),"")</x:f>
        <x:v>6</x:v>
      </x:c>
      <x:c r="I6" s="13" t="n">
        <x:f>IFERROR(G6*H6,"")</x:f>
        <x:v>18480</x:v>
      </x:c>
      <x:c r="J6" s="12" t="n">
        <x:f>IFERROR(I6/F6-1,"")</x:f>
        <x:v>0.06206896551724128</x:v>
      </x:c>
      <x:c r="K6" s="3" t="s">
        <x:v>273</x:v>
      </x:c>
    </x:row>
    <x:row r="7">
      <x:c r="A7" s="3" t="s">
        <x:v>275</x:v>
      </x:c>
      <x:c r="B7" s="3" t="s">
        <x:v>276</x:v>
      </x:c>
      <x:c r="C7" s="3">
        <x:v>200</x:v>
      </x:c>
      <x:c r="D7" s="3">
        <x:v>6</x:v>
      </x:c>
      <x:c r="E7" s="3">
        <x:v>60</x:v>
      </x:c>
      <x:c r="F7" s="13">
        <x:f t="shared" si="0"/>
        <x:v>72000</x:v>
      </x:c>
      <x:c r="G7" s="13">
        <x:v>48000</x:v>
      </x:c>
      <x:c r="H7" s="13" t="n">
        <x:f>IFERROR(ROUNDUP(F7/G7,0),"")</x:f>
        <x:v>2</x:v>
      </x:c>
      <x:c r="I7" s="13" t="n">
        <x:f>IFERROR(G7*H7,"")</x:f>
        <x:v>96000</x:v>
      </x:c>
      <x:c r="J7" s="12" t="n">
        <x:f>IFERROR(I7/F7-1,"")</x:f>
        <x:v>0.33333333333333326</x:v>
      </x:c>
      <x:c r="K7" s="3" t="s">
        <x:v>273</x:v>
      </x:c>
    </x:row>
    <x:row r="8">
      <x:c r="A8" s="3" t="s">
        <x:v>277</x:v>
      </x:c>
      <x:c r="B8" s="3" t="s">
        <x:v>278</x:v>
      </x:c>
      <x:c r="C8" s="3">
        <x:v>200</x:v>
      </x:c>
      <x:c r="D8" s="3">
        <x:v>6</x:v>
      </x:c>
      <x:c r="E8" s="3">
        <x:v>60</x:v>
      </x:c>
      <x:c r="F8" s="13">
        <x:f t="shared" si="0"/>
        <x:v>72000</x:v>
      </x:c>
      <x:c r="G8" s="13">
        <x:v>9000</x:v>
      </x:c>
      <x:c r="H8" s="13" t="n">
        <x:f>IFERROR(F8/G8,"")</x:f>
        <x:v>8</x:v>
      </x:c>
      <x:c r="I8" s="13" t="s">
        <x:v>279</x:v>
      </x:c>
      <x:c r="J8" s="12"/>
      <x:c r="K8" s="3" t="s">
        <x:v>280</x:v>
      </x:c>
    </x:row>
    <x:row r="9" ht="27.600000381469727">
      <x:c r="A9" s="3" t="s">
        <x:v>281</x:v>
      </x:c>
      <x:c r="B9" s="3" t="s">
        <x:v>282</x:v>
      </x:c>
      <x:c r="C9" s="3">
        <x:v>200</x:v>
      </x:c>
      <x:c r="D9" s="3">
        <x:v>6</x:v>
      </x:c>
      <x:c r="E9" s="3">
        <x:v>60</x:v>
      </x:c>
      <x:c r="F9" s="13">
        <x:f t="shared" si="0"/>
        <x:v>72000</x:v>
      </x:c>
      <x:c r="G9" s="13">
        <x:v>48000</x:v>
      </x:c>
      <x:c r="H9" s="13" t="n">
        <x:f>IFERROR(ROUNDUP(F9/48000,0)*48000/9000,"")</x:f>
        <x:v>10.666666666666666</x:v>
      </x:c>
      <x:c r="I9" s="13" t="s">
        <x:v>283</x:v>
      </x:c>
      <x:c r="J9" s="13"/>
      <x:c r="K9" s="22" t="s">
        <x:v>280</x:v>
      </x:c>
    </x:row>
    <x:row r="10">
      <x:c r="A10" s="3" t="s">
        <x:v>284</x:v>
      </x:c>
      <x:c r="B10" s="3" t="s">
        <x:v>285</x:v>
      </x:c>
      <x:c r="C10" s="3">
        <x:v>0</x:v>
      </x:c>
      <x:c r="D10" s="3">
        <x:v>3</x:v>
      </x:c>
      <x:c r="E10" s="3">
        <x:v>20</x:v>
      </x:c>
      <x:c r="F10" s="13">
        <x:f t="shared" si="0"/>
        <x:v>0</x:v>
      </x:c>
      <x:c r="G10" s="13">
        <x:v>46000</x:v>
      </x:c>
      <x:c r="H10" s="13" t="n">
        <x:f>IFERROR(ROUNDUP(F10/G10,0),"")</x:f>
        <x:v>0</x:v>
      </x:c>
      <x:c r="I10" s="13"/>
      <x:c r="J10" s="13"/>
      <x:c r="K10" s="22" t="s">
        <x:v>286</x:v>
      </x:c>
    </x:row>
    <x:row r="11">
      <x:c r="A11" s="3"/>
      <x:c r="B11" s="3"/>
      <x:c r="C11" s="3"/>
      <x:c r="D11" s="3"/>
      <x:c r="E11" s="3"/>
      <x:c r="F11" s="13"/>
      <x:c r="G11" s="13"/>
      <x:c r="H11" s="13"/>
      <x:c r="I11" s="13"/>
      <x:c r="J11" s="13"/>
      <x:c r="K11" s="3"/>
    </x:row>
  </x:sheetData>
  <x:mergeCells>
    <x:mergeCell ref="A2:K2"/>
    <x:mergeCell ref="A1:K1"/>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3.800000190734863"/>
  <x:cols>
    <x:col min="1" max="1" width="9.3984375" customWidth="1"/>
    <x:col min="2" max="2" width="21.09765625" customWidth="1"/>
    <x:col min="3" max="3" width="30" customWidth="1"/>
    <x:col min="4" max="4" width="29.3984375" customWidth="1"/>
    <x:col min="5" max="5" width="35.59765625" customWidth="1"/>
    <x:col min="6" max="6" width="11.09765625" customWidth="1"/>
    <x:col min="7" max="7" width="21.09765625" customWidth="1"/>
    <x:col min="8" max="8" width="13.296875" customWidth="1"/>
  </x:cols>
  <x:sheetData>
    <x:row r="1" ht="28.049999237060547" customHeight="1">
      <x:c r="A1" s="35" t="s">
        <x:v>287</x:v>
      </x:c>
      <x:c r="B1" s="26"/>
      <x:c r="C1" s="26"/>
      <x:c r="D1" s="26"/>
      <x:c r="E1" s="26"/>
      <x:c r="F1" s="26"/>
      <x:c r="G1" s="26"/>
      <x:c r="H1" s="26"/>
    </x:row>
    <x:row r="2" ht="31.950000762939453" customHeight="1">
      <x:c r="A2" s="34" t="s">
        <x:v>288</x:v>
      </x:c>
      <x:c r="B2" s="26"/>
      <x:c r="C2" s="26"/>
      <x:c r="D2" s="26"/>
      <x:c r="E2" s="26"/>
      <x:c r="F2" s="26"/>
      <x:c r="G2" s="26"/>
      <x:c r="H2" s="26"/>
    </x:row>
    <x:row r="4" ht="27.600000381469727">
      <x:c r="A4" s="1" t="s">
        <x:v>137</x:v>
      </x:c>
      <x:c r="B4" s="1" t="s">
        <x:v>289</x:v>
      </x:c>
      <x:c r="C4" s="1" t="s">
        <x:v>290</x:v>
      </x:c>
      <x:c r="D4" s="1" t="s">
        <x:v>291</x:v>
      </x:c>
      <x:c r="E4" s="1" t="s">
        <x:v>292</x:v>
      </x:c>
      <x:c r="F4" s="1" t="s">
        <x:v>293</x:v>
      </x:c>
      <x:c r="G4" s="1" t="s">
        <x:v>294</x:v>
      </x:c>
      <x:c r="H4" s="1" t="s">
        <x:v>22</x:v>
      </x:c>
    </x:row>
    <x:row r="5" ht="27.600000381469727">
      <x:c r="A5" s="3" t="s">
        <x:v>295</x:v>
      </x:c>
      <x:c r="B5" s="3" t="s">
        <x:v>296</x:v>
      </x:c>
      <x:c r="C5" s="3" t="s">
        <x:v>297</x:v>
      </x:c>
      <x:c r="D5" s="3" t="s">
        <x:v>298</x:v>
      </x:c>
      <x:c r="E5" s="3" t="s">
        <x:v>299</x:v>
      </x:c>
      <x:c r="F5" s="3" t="str">
        <x:v>Đã chốt</x:v>
      </x:c>
      <x:c r="G5" s="3" t="s">
        <x:v>300</x:v>
      </x:c>
      <x:c r="H5" s="3" t="str">
        <x:v>Đã chốt</x:v>
      </x:c>
    </x:row>
    <x:row r="6" ht="27.600000381469727">
      <x:c r="A6" s="3" t="s">
        <x:v>301</x:v>
      </x:c>
      <x:c r="B6" s="3" t="s">
        <x:v>302</x:v>
      </x:c>
      <x:c r="C6" s="3" t="s">
        <x:v>303</x:v>
      </x:c>
      <x:c r="D6" s="3" t="s">
        <x:v>304</x:v>
      </x:c>
      <x:c r="E6" s="3" t="s">
        <x:v>305</x:v>
      </x:c>
      <x:c r="F6" s="3" t="str">
        <x:v>Đã chốt</x:v>
      </x:c>
      <x:c r="G6" s="3" t="s">
        <x:v>300</x:v>
      </x:c>
      <x:c r="H6" s="3" t="str">
        <x:v>Đã chốt</x:v>
      </x:c>
    </x:row>
    <x:row r="7" ht="41.400001525878906">
      <x:c r="A7" s="3" t="s">
        <x:v>306</x:v>
      </x:c>
      <x:c r="B7" s="3" t="s">
        <x:v>307</x:v>
      </x:c>
      <x:c r="C7" s="3" t="s">
        <x:v>308</x:v>
      </x:c>
      <x:c r="D7" s="3" t="s">
        <x:v>309</x:v>
      </x:c>
      <x:c r="E7" s="3" t="s">
        <x:v>310</x:v>
      </x:c>
      <x:c r="F7" s="3" t="str">
        <x:v>Đã chốt</x:v>
      </x:c>
      <x:c r="G7" s="3" t="s">
        <x:v>311</x:v>
      </x:c>
      <x:c r="H7" s="3" t="str">
        <x:v>Đã chốt</x:v>
      </x:c>
    </x:row>
    <x:row r="8" ht="41.400001525878906">
      <x:c r="A8" s="3" t="s">
        <x:v>312</x:v>
      </x:c>
      <x:c r="B8" s="3" t="s">
        <x:v>313</x:v>
      </x:c>
      <x:c r="C8" s="3" t="s">
        <x:v>314</x:v>
      </x:c>
      <x:c r="D8" s="3" t="s">
        <x:v>315</x:v>
      </x:c>
      <x:c r="E8" s="3" t="s">
        <x:v>316</x:v>
      </x:c>
      <x:c r="F8" s="3" t="str">
        <x:v>Đã chốt</x:v>
      </x:c>
      <x:c r="G8" s="3" t="s">
        <x:v>317</x:v>
      </x:c>
      <x:c r="H8" s="3" t="str">
        <x:v>Đã chốt</x:v>
      </x:c>
    </x:row>
    <x:row r="9" ht="234.60000610351562">
      <x:c r="A9" s="3" t="s">
        <x:v>318</x:v>
      </x:c>
      <x:c r="B9" s="3" t="str">
        <x:v>Kích thước tấm và khung mua riêng</x:v>
      </x:c>
      <x:c r="C9" s="3" t="str">
        <x:v>Các kích thước dài × rộng × dày trong bảng là lựa chọn tấm làm mát; khung mua riêng.</x:v>
      </x:c>
      <x:c r="D9" s="3" t="str">
        <x:v>Nếu gộp tấm và khung sẽ làm sai số lượng, diện tích và giá.</x:v>
      </x:c>
      <x:c r="E9" s="3" t="str">
        <x:v>Tính diện tích theo dài × rộng của tấm; độ dày 150 mm không tham gia; không tự cộng khung.</x:v>
      </x:c>
      <x:c r="F9" s="3" t="str">
        <x:v>Đã chốt</x:v>
      </x:c>
      <x:c r="G9" s="3" t="str">
        <x:v>Tấm có nhiều kích thước để khách chọn; khung mua riêng và không tính trong công cụ này.</x:v>
      </x:c>
      <x:c r="H9" s="3" t="str">
        <x:v>Đã chốt</x:v>
      </x:c>
    </x:row>
    <x:row r="10" ht="124.19999694824219">
      <x:c r="A10" s="3" t="s">
        <x:v>252</x:v>
      </x:c>
      <x:c r="B10" s="3" t="s">
        <x:v>319</x:v>
      </x:c>
      <x:c r="C10" s="3" t="s">
        <x:v>320</x:v>
      </x:c>
      <x:c r="D10" s="3" t="s">
        <x:v>321</x:v>
      </x:c>
      <x:c r="E10" s="3" t="s">
        <x:v>322</x:v>
      </x:c>
      <x:c r="F10" s="3" t="str">
        <x:v>Đã chốt</x:v>
      </x:c>
      <x:c r="G10" s="3" t="s">
        <x:v>323</x:v>
      </x:c>
      <x:c r="H10" s="3" t="str">
        <x:v>Đã chốt</x:v>
      </x:c>
    </x:row>
    <x:row r="11" ht="82.80000305175781">
      <x:c r="A11" s="3" t="s">
        <x:v>254</x:v>
      </x:c>
      <x:c r="B11" s="3" t="s">
        <x:v>324</x:v>
      </x:c>
      <x:c r="C11" s="3" t="s">
        <x:v>325</x:v>
      </x:c>
      <x:c r="D11" s="3" t="s">
        <x:v>326</x:v>
      </x:c>
      <x:c r="E11" s="3" t="s">
        <x:v>327</x:v>
      </x:c>
      <x:c r="F11" s="3" t="str">
        <x:v>Đã chốt</x:v>
      </x:c>
      <x:c r="G11" s="3" t="s">
        <x:v>328</x:v>
      </x:c>
      <x:c r="H11" s="3" t="str">
        <x:v>Đã chốt</x:v>
      </x:c>
    </x:row>
    <x:row r="12" ht="27.600000381469727">
      <x:c r="A12" s="3" t="s">
        <x:v>329</x:v>
      </x:c>
      <x:c r="B12" s="3" t="str">
        <x:v>Giá trị 350 nhập nhầm ở nhóm cooling pad</x:v>
      </x:c>
      <x:c r="C12" s="3" t="str">
        <x:v>Bảng tham khảo cũ ghi 350 trong cột lưu lượng cho tấm và khung.</x:v>
      </x:c>
      <x:c r="D12" s="3" t="str">
        <x:v>Nếu dùng nguyên trạng, website có thể hiểu sai 350 m³/h là lưu lượng của tấm.</x:v>
      </x:c>
      <x:c r="E12" s="3" t="str">
        <x:v>Xóa 350; không map airflow cho tấm/khung. Thông số chính thức lấy từ database Mắt Bão.</x:v>
      </x:c>
      <x:c r="F12" s="3" t="str">
        <x:v>Đã chốt</x:v>
      </x:c>
      <x:c r="G12" s="3" t="str">
        <x:v>Xóa bỏ giá trị 350; danh sách Excel chỉ dùng tham khảo và kiểm thử.</x:v>
      </x:c>
      <x:c r="H12" s="3" t="str">
        <x:v>Đã chốt</x:v>
      </x:c>
    </x:row>
    <x:row r="13" ht="69">
      <x:c r="A13" s="3" t="s">
        <x:v>330</x:v>
      </x:c>
      <x:c r="B13" s="3" t="s">
        <x:v>331</x:v>
      </x:c>
      <x:c r="C13" s="3" t="s">
        <x:v>332</x:v>
      </x:c>
      <x:c r="D13" s="3" t="s">
        <x:v>333</x:v>
      </x:c>
      <x:c r="E13" s="3" t="str">
        <x:v>Dùng mã sản phẩm/SKU từ database làm khóa; tên viết tắt chỉ là thông tin hiển thị tham khảo.</x:v>
      </x:c>
      <x:c r="F13" s="3" t="str">
        <x:v>Đã chốt</x:v>
      </x:c>
      <x:c r="G13" s="3" t="s">
        <x:v>334</x:v>
      </x:c>
      <x:c r="H13" s="3" t="str">
        <x:v>Đã chốt</x:v>
      </x:c>
    </x:row>
    <x:row r="14" ht="27.600000381469727">
      <x:c r="A14" s="3" t="s">
        <x:v>335</x:v>
      </x:c>
      <x:c r="B14" s="3" t="s">
        <x:v>336</x:v>
      </x:c>
      <x:c r="C14" s="3" t="s">
        <x:v>337</x:v>
      </x:c>
      <x:c r="D14" s="3" t="s">
        <x:v>338</x:v>
      </x:c>
      <x:c r="E14" s="3" t="s">
        <x:v>339</x:v>
      </x:c>
      <x:c r="F14" s="3" t="s">
        <x:v>340</x:v>
      </x:c>
      <x:c r="G14" s="3" t="s">
        <x:v>341</x:v>
      </x:c>
      <x:c r="H14" s="3" t="str">
        <x:v>Đã chốt</x:v>
      </x:c>
    </x:row>
  </x:sheetData>
  <x:mergeCells>
    <x:mergeCell ref="A2:H2"/>
    <x:mergeCell ref="A1:H1"/>
  </x:mergeCells>
  <x:conditionalFormatting sqref="F5:F14">
    <x:cfRule type="expression" dxfId="2" priority="1">
      <x:formula>F5="Phải sửa"</x:formula>
    </x:cfRule>
    <x:cfRule type="expression" dxfId="1" priority="2">
      <x:formula>F5="Phải chốt"</x:formula>
    </x:cfRule>
    <x:cfRule type="expression" dxfId="0" priority="3">
      <x:formula>F5="Đã chốt"</x:formula>
    </x:cfRule>
  </x:conditionalFormatting>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3.800000190734863"/>
  <x:cols>
    <x:col min="1" max="2" width="31.09765625" customWidth="1"/>
    <x:col min="3" max="3" width="14.09765625" customWidth="1"/>
    <x:col min="4" max="4" width="13.19921875" customWidth="1"/>
    <x:col min="5" max="5" width="8.59765625" customWidth="1"/>
    <x:col min="6" max="6" width="10.3984375" customWidth="1"/>
    <x:col min="7" max="7" width="10.796875" customWidth="1"/>
    <x:col min="8" max="8" width="15.09765625" customWidth="1"/>
    <x:col min="9" max="9" width="14.3984375" customWidth="1"/>
    <x:col min="10" max="10" width="23.69921875" customWidth="1"/>
    <x:col min="11" max="11" width="6.59765625" customWidth="1"/>
    <x:col min="12" max="12" width="13.296875" customWidth="1"/>
  </x:cols>
  <x:sheetData>
    <x:row r="1" ht="41.400001525878906">
      <x:c r="A1" s="24" t="s">
        <x:v>342</x:v>
      </x:c>
      <x:c r="B1" s="24"/>
      <x:c r="C1" s="24"/>
      <x:c r="D1" s="24"/>
      <x:c r="E1" s="24"/>
      <x:c r="F1" s="24"/>
      <x:c r="G1" s="24"/>
      <x:c r="H1" s="24"/>
      <x:c r="I1" s="24"/>
      <x:c r="J1" s="24"/>
      <x:c r="K1" s="24"/>
      <x:c r="L1" s="24"/>
    </x:row>
    <x:row r="2" ht="27.600000381469727">
      <x:c r="A2" s="24" t="s">
        <x:v>137</x:v>
      </x:c>
      <x:c r="B2" s="24" t="s">
        <x:v>343</x:v>
      </x:c>
      <x:c r="C2" s="24" t="s">
        <x:v>344</x:v>
      </x:c>
      <x:c r="D2" s="24" t="str">
        <x:v>Lưu lượng gió tham khảo (m³/h)</x:v>
      </x:c>
      <x:c r="E2" s="24" t="s">
        <x:v>345</x:v>
      </x:c>
      <x:c r="F2" s="24" t="s">
        <x:v>346</x:v>
      </x:c>
      <x:c r="G2" s="24" t="s">
        <x:v>171</x:v>
      </x:c>
      <x:c r="H2" s="24" t="s">
        <x:v>347</x:v>
      </x:c>
      <x:c r="I2" s="24" t="s">
        <x:v>348</x:v>
      </x:c>
      <x:c r="J2" s="24" t="s">
        <x:v>349</x:v>
      </x:c>
      <x:c r="K2" s="24" t="s">
        <x:v>61</x:v>
      </x:c>
      <x:c r="L2" s="24" t="s">
        <x:v>350</x:v>
      </x:c>
    </x:row>
    <x:row r="3" ht="27.600000381469727">
      <x:c r="A3" s="23" t="s">
        <x:v>351</x:v>
      </x:c>
      <x:c r="B3" s="23" t="s">
        <x:v>352</x:v>
      </x:c>
      <x:c r="C3" s="23" t="s">
        <x:v>353</x:v>
      </x:c>
      <x:c r="D3" s="23">
        <x:v>600</x:v>
      </x:c>
      <x:c r="E3" s="23" t="s">
        <x:v>354</x:v>
      </x:c>
      <x:c r="F3" s="23" t="s">
        <x:v>355</x:v>
      </x:c>
      <x:c r="G3" s="23" t="s">
        <x:v>356</x:v>
      </x:c>
      <x:c r="H3" s="23" t="s">
        <x:v>357</x:v>
      </x:c>
      <x:c r="I3" s="23" t="s">
        <x:v>358</x:v>
      </x:c>
      <x:c r="J3" s="23"/>
      <x:c r="K3" s="23" t="s">
        <x:v>359</x:v>
      </x:c>
      <x:c r="L3" s="23" t="s">
        <x:v>360</x:v>
      </x:c>
    </x:row>
    <x:row r="4" ht="27.600000381469727">
      <x:c r="A4" s="23" t="s">
        <x:v>361</x:v>
      </x:c>
      <x:c r="B4" s="23" t="s">
        <x:v>362</x:v>
      </x:c>
      <x:c r="C4" s="23" t="s">
        <x:v>353</x:v>
      </x:c>
      <x:c r="D4" s="23">
        <x:v>1330</x:v>
      </x:c>
      <x:c r="E4" s="23" t="s">
        <x:v>354</x:v>
      </x:c>
      <x:c r="F4" s="23" t="s">
        <x:v>355</x:v>
      </x:c>
      <x:c r="G4" s="23" t="s">
        <x:v>363</x:v>
      </x:c>
      <x:c r="H4" s="23" t="s">
        <x:v>357</x:v>
      </x:c>
      <x:c r="I4" s="23" t="s">
        <x:v>358</x:v>
      </x:c>
      <x:c r="J4" s="23"/>
      <x:c r="K4" s="23" t="s">
        <x:v>359</x:v>
      </x:c>
      <x:c r="L4" s="23" t="s">
        <x:v>360</x:v>
      </x:c>
    </x:row>
    <x:row r="5" ht="27.600000381469727">
      <x:c r="A5" s="23" t="s">
        <x:v>364</x:v>
      </x:c>
      <x:c r="B5" s="23" t="s">
        <x:v>365</x:v>
      </x:c>
      <x:c r="C5" s="23" t="s">
        <x:v>353</x:v>
      </x:c>
      <x:c r="D5" s="23">
        <x:v>840</x:v>
      </x:c>
      <x:c r="E5" s="23" t="s">
        <x:v>354</x:v>
      </x:c>
      <x:c r="F5" s="23" t="s">
        <x:v>355</x:v>
      </x:c>
      <x:c r="G5" s="23" t="s">
        <x:v>366</x:v>
      </x:c>
      <x:c r="H5" s="23" t="s">
        <x:v>367</x:v>
      </x:c>
      <x:c r="I5" s="23" t="s">
        <x:v>358</x:v>
      </x:c>
      <x:c r="J5" s="23"/>
      <x:c r="K5" s="23" t="s">
        <x:v>359</x:v>
      </x:c>
      <x:c r="L5" s="23" t="s">
        <x:v>360</x:v>
      </x:c>
    </x:row>
    <x:row r="6" ht="27.600000381469727">
      <x:c r="A6" s="23" t="s">
        <x:v>368</x:v>
      </x:c>
      <x:c r="B6" s="23" t="s">
        <x:v>369</x:v>
      </x:c>
      <x:c r="C6" s="23" t="s">
        <x:v>353</x:v>
      </x:c>
      <x:c r="D6" s="23">
        <x:v>840</x:v>
      </x:c>
      <x:c r="E6" s="23" t="s">
        <x:v>354</x:v>
      </x:c>
      <x:c r="F6" s="23" t="s">
        <x:v>355</x:v>
      </x:c>
      <x:c r="G6" s="23" t="s">
        <x:v>366</x:v>
      </x:c>
      <x:c r="H6" s="23" t="s">
        <x:v>367</x:v>
      </x:c>
      <x:c r="I6" s="23" t="s">
        <x:v>358</x:v>
      </x:c>
      <x:c r="J6" s="23"/>
      <x:c r="K6" s="23" t="s">
        <x:v>359</x:v>
      </x:c>
      <x:c r="L6" s="23" t="s">
        <x:v>360</x:v>
      </x:c>
    </x:row>
    <x:row r="7" ht="27.600000381469727">
      <x:c r="A7" s="23" t="s">
        <x:v>370</x:v>
      </x:c>
      <x:c r="B7" s="23" t="s">
        <x:v>371</x:v>
      </x:c>
      <x:c r="C7" s="23" t="s">
        <x:v>353</x:v>
      </x:c>
      <x:c r="D7" s="23">
        <x:v>840</x:v>
      </x:c>
      <x:c r="E7" s="23" t="s">
        <x:v>354</x:v>
      </x:c>
      <x:c r="F7" s="23" t="s">
        <x:v>355</x:v>
      </x:c>
      <x:c r="G7" s="23" t="s">
        <x:v>363</x:v>
      </x:c>
      <x:c r="H7" s="23" t="s">
        <x:v>367</x:v>
      </x:c>
      <x:c r="I7" s="23" t="s">
        <x:v>358</x:v>
      </x:c>
      <x:c r="J7" s="23"/>
      <x:c r="K7" s="23" t="s">
        <x:v>359</x:v>
      </x:c>
      <x:c r="L7" s="23" t="s">
        <x:v>360</x:v>
      </x:c>
    </x:row>
    <x:row r="8" ht="27.600000381469727">
      <x:c r="A8" s="23" t="s">
        <x:v>372</x:v>
      </x:c>
      <x:c r="B8" s="23" t="s">
        <x:v>373</x:v>
      </x:c>
      <x:c r="C8" s="23" t="s">
        <x:v>353</x:v>
      </x:c>
      <x:c r="D8" s="23">
        <x:v>2340</x:v>
      </x:c>
      <x:c r="E8" s="23" t="s">
        <x:v>354</x:v>
      </x:c>
      <x:c r="F8" s="23" t="s">
        <x:v>355</x:v>
      </x:c>
      <x:c r="G8" s="23" t="s">
        <x:v>363</x:v>
      </x:c>
      <x:c r="H8" s="23" t="s">
        <x:v>357</x:v>
      </x:c>
      <x:c r="I8" s="23" t="s">
        <x:v>358</x:v>
      </x:c>
      <x:c r="J8" s="23"/>
      <x:c r="K8" s="23" t="s">
        <x:v>359</x:v>
      </x:c>
      <x:c r="L8" s="23" t="s">
        <x:v>360</x:v>
      </x:c>
    </x:row>
    <x:row r="9" ht="27.600000381469727">
      <x:c r="A9" s="23" t="s">
        <x:v>374</x:v>
      </x:c>
      <x:c r="B9" s="23" t="s">
        <x:v>375</x:v>
      </x:c>
      <x:c r="C9" s="23" t="s">
        <x:v>353</x:v>
      </x:c>
      <x:c r="D9" s="23">
        <x:v>2200</x:v>
      </x:c>
      <x:c r="E9" s="23" t="s">
        <x:v>354</x:v>
      </x:c>
      <x:c r="F9" s="23" t="s">
        <x:v>355</x:v>
      </x:c>
      <x:c r="G9" s="23" t="s">
        <x:v>376</x:v>
      </x:c>
      <x:c r="H9" s="23" t="s">
        <x:v>357</x:v>
      </x:c>
      <x:c r="I9" s="23" t="s">
        <x:v>358</x:v>
      </x:c>
      <x:c r="J9" s="23"/>
      <x:c r="K9" s="23" t="s">
        <x:v>359</x:v>
      </x:c>
      <x:c r="L9" s="23" t="s">
        <x:v>360</x:v>
      </x:c>
    </x:row>
    <x:row r="10" ht="27.600000381469727">
      <x:c r="A10" s="23" t="s">
        <x:v>377</x:v>
      </x:c>
      <x:c r="B10" s="23" t="s">
        <x:v>378</x:v>
      </x:c>
      <x:c r="C10" s="23" t="s">
        <x:v>353</x:v>
      </x:c>
      <x:c r="D10" s="23">
        <x:v>1180</x:v>
      </x:c>
      <x:c r="E10" s="23" t="s">
        <x:v>354</x:v>
      </x:c>
      <x:c r="F10" s="23" t="s">
        <x:v>355</x:v>
      </x:c>
      <x:c r="G10" s="23" t="s">
        <x:v>379</x:v>
      </x:c>
      <x:c r="H10" s="23" t="s">
        <x:v>357</x:v>
      </x:c>
      <x:c r="I10" s="23" t="s">
        <x:v>358</x:v>
      </x:c>
      <x:c r="J10" s="23"/>
      <x:c r="K10" s="23" t="s">
        <x:v>359</x:v>
      </x:c>
      <x:c r="L10" s="23" t="s">
        <x:v>360</x:v>
      </x:c>
    </x:row>
    <x:row r="11" ht="27.600000381469727">
      <x:c r="A11" s="23" t="s">
        <x:v>380</x:v>
      </x:c>
      <x:c r="B11" s="23" t="s">
        <x:v>381</x:v>
      </x:c>
      <x:c r="C11" s="23" t="s">
        <x:v>353</x:v>
      </x:c>
      <x:c r="D11" s="23">
        <x:v>1150</x:v>
      </x:c>
      <x:c r="E11" s="23" t="s">
        <x:v>354</x:v>
      </x:c>
      <x:c r="F11" s="23" t="s">
        <x:v>355</x:v>
      </x:c>
      <x:c r="G11" s="23" t="s">
        <x:v>382</x:v>
      </x:c>
      <x:c r="H11" s="23" t="s">
        <x:v>357</x:v>
      </x:c>
      <x:c r="I11" s="23" t="s">
        <x:v>358</x:v>
      </x:c>
      <x:c r="J11" s="23"/>
      <x:c r="K11" s="23" t="s">
        <x:v>359</x:v>
      </x:c>
      <x:c r="L11" s="23" t="s">
        <x:v>360</x:v>
      </x:c>
    </x:row>
    <x:row r="12" ht="27.600000381469727">
      <x:c r="A12" s="23" t="s">
        <x:v>383</x:v>
      </x:c>
      <x:c r="B12" s="23" t="s">
        <x:v>384</x:v>
      </x:c>
      <x:c r="C12" s="23" t="s">
        <x:v>353</x:v>
      </x:c>
      <x:c r="D12" s="23">
        <x:v>1100</x:v>
      </x:c>
      <x:c r="E12" s="23" t="s">
        <x:v>354</x:v>
      </x:c>
      <x:c r="F12" s="23" t="s">
        <x:v>355</x:v>
      </x:c>
      <x:c r="G12" s="23" t="s">
        <x:v>356</x:v>
      </x:c>
      <x:c r="H12" s="23" t="s">
        <x:v>357</x:v>
      </x:c>
      <x:c r="I12" s="23" t="s">
        <x:v>358</x:v>
      </x:c>
      <x:c r="J12" s="23"/>
      <x:c r="K12" s="23" t="s">
        <x:v>359</x:v>
      </x:c>
      <x:c r="L12" s="23" t="s">
        <x:v>360</x:v>
      </x:c>
    </x:row>
    <x:row r="13" ht="27.600000381469727">
      <x:c r="A13" s="23" t="s">
        <x:v>385</x:v>
      </x:c>
      <x:c r="B13" s="23" t="s">
        <x:v>386</x:v>
      </x:c>
      <x:c r="C13" s="23" t="s">
        <x:v>353</x:v>
      </x:c>
      <x:c r="D13" s="23">
        <x:v>3460</x:v>
      </x:c>
      <x:c r="E13" s="23" t="s">
        <x:v>354</x:v>
      </x:c>
      <x:c r="F13" s="23" t="s">
        <x:v>355</x:v>
      </x:c>
      <x:c r="G13" s="23" t="s">
        <x:v>363</x:v>
      </x:c>
      <x:c r="H13" s="23" t="s">
        <x:v>367</x:v>
      </x:c>
      <x:c r="I13" s="23" t="s">
        <x:v>358</x:v>
      </x:c>
      <x:c r="J13" s="23"/>
      <x:c r="K13" s="23" t="s">
        <x:v>359</x:v>
      </x:c>
      <x:c r="L13" s="23" t="s">
        <x:v>360</x:v>
      </x:c>
    </x:row>
    <x:row r="14" ht="27.600000381469727">
      <x:c r="A14" s="23" t="s">
        <x:v>387</x:v>
      </x:c>
      <x:c r="B14" s="23" t="s">
        <x:v>388</x:v>
      </x:c>
      <x:c r="C14" s="23" t="s">
        <x:v>353</x:v>
      </x:c>
      <x:c r="D14" s="23">
        <x:v>2200</x:v>
      </x:c>
      <x:c r="E14" s="23" t="s">
        <x:v>354</x:v>
      </x:c>
      <x:c r="F14" s="23" t="s">
        <x:v>355</x:v>
      </x:c>
      <x:c r="G14" s="23" t="s">
        <x:v>366</x:v>
      </x:c>
      <x:c r="H14" s="23" t="s">
        <x:v>357</x:v>
      </x:c>
      <x:c r="I14" s="23" t="s">
        <x:v>358</x:v>
      </x:c>
      <x:c r="J14" s="23"/>
      <x:c r="K14" s="23" t="s">
        <x:v>359</x:v>
      </x:c>
      <x:c r="L14" s="23" t="s">
        <x:v>360</x:v>
      </x:c>
    </x:row>
    <x:row r="15" ht="41.400001525878906">
      <x:c r="A15" s="23" t="s">
        <x:v>389</x:v>
      </x:c>
      <x:c r="B15" s="23" t="s">
        <x:v>390</x:v>
      </x:c>
      <x:c r="C15" s="23" t="s">
        <x:v>353</x:v>
      </x:c>
      <x:c r="D15" s="23">
        <x:v>2200</x:v>
      </x:c>
      <x:c r="E15" s="23" t="s">
        <x:v>354</x:v>
      </x:c>
      <x:c r="F15" s="23" t="s">
        <x:v>355</x:v>
      </x:c>
      <x:c r="G15" s="23" t="s">
        <x:v>376</x:v>
      </x:c>
      <x:c r="H15" s="23" t="s">
        <x:v>357</x:v>
      </x:c>
      <x:c r="I15" s="23" t="s">
        <x:v>358</x:v>
      </x:c>
      <x:c r="J15" s="23"/>
      <x:c r="K15" s="23" t="s">
        <x:v>359</x:v>
      </x:c>
      <x:c r="L15" s="23" t="s">
        <x:v>360</x:v>
      </x:c>
    </x:row>
    <x:row r="16" ht="27.600000381469727">
      <x:c r="A16" s="23" t="s">
        <x:v>391</x:v>
      </x:c>
      <x:c r="B16" s="23" t="s">
        <x:v>392</x:v>
      </x:c>
      <x:c r="C16" s="23" t="s">
        <x:v>353</x:v>
      </x:c>
      <x:c r="D16" s="23">
        <x:v>2090</x:v>
      </x:c>
      <x:c r="E16" s="23" t="s">
        <x:v>354</x:v>
      </x:c>
      <x:c r="F16" s="23" t="s">
        <x:v>355</x:v>
      </x:c>
      <x:c r="G16" s="23" t="s">
        <x:v>379</x:v>
      </x:c>
      <x:c r="H16" s="23" t="s">
        <x:v>357</x:v>
      </x:c>
      <x:c r="I16" s="23" t="s">
        <x:v>358</x:v>
      </x:c>
      <x:c r="J16" s="23"/>
      <x:c r="K16" s="23" t="s">
        <x:v>359</x:v>
      </x:c>
      <x:c r="L16" s="23" t="s">
        <x:v>360</x:v>
      </x:c>
    </x:row>
    <x:row r="17" ht="27.600000381469727">
      <x:c r="A17" s="23" t="s">
        <x:v>393</x:v>
      </x:c>
      <x:c r="B17" s="23" t="s">
        <x:v>394</x:v>
      </x:c>
      <x:c r="C17" s="23" t="s">
        <x:v>353</x:v>
      </x:c>
      <x:c r="D17" s="23">
        <x:v>2000</x:v>
      </x:c>
      <x:c r="E17" s="23" t="s">
        <x:v>354</x:v>
      </x:c>
      <x:c r="F17" s="23" t="s">
        <x:v>355</x:v>
      </x:c>
      <x:c r="G17" s="23" t="s">
        <x:v>379</x:v>
      </x:c>
      <x:c r="H17" s="23" t="s">
        <x:v>357</x:v>
      </x:c>
      <x:c r="I17" s="23" t="s">
        <x:v>358</x:v>
      </x:c>
      <x:c r="J17" s="23"/>
      <x:c r="K17" s="23" t="s">
        <x:v>359</x:v>
      </x:c>
      <x:c r="L17" s="23" t="s">
        <x:v>360</x:v>
      </x:c>
    </x:row>
    <x:row r="18" ht="27.600000381469727">
      <x:c r="A18" s="23" t="s">
        <x:v>395</x:v>
      </x:c>
      <x:c r="B18" s="23" t="s">
        <x:v>396</x:v>
      </x:c>
      <x:c r="C18" s="23" t="s">
        <x:v>353</x:v>
      </x:c>
      <x:c r="D18" s="23">
        <x:v>1820</x:v>
      </x:c>
      <x:c r="E18" s="23" t="s">
        <x:v>354</x:v>
      </x:c>
      <x:c r="F18" s="23" t="s">
        <x:v>355</x:v>
      </x:c>
      <x:c r="G18" s="23" t="s">
        <x:v>382</x:v>
      </x:c>
      <x:c r="H18" s="23" t="s">
        <x:v>357</x:v>
      </x:c>
      <x:c r="I18" s="23" t="s">
        <x:v>358</x:v>
      </x:c>
      <x:c r="J18" s="23"/>
      <x:c r="K18" s="23" t="s">
        <x:v>359</x:v>
      </x:c>
      <x:c r="L18" s="23" t="s">
        <x:v>360</x:v>
      </x:c>
    </x:row>
    <x:row r="19" ht="27.600000381469727">
      <x:c r="A19" s="23" t="s">
        <x:v>397</x:v>
      </x:c>
      <x:c r="B19" s="23" t="s">
        <x:v>398</x:v>
      </x:c>
      <x:c r="C19" s="23" t="s">
        <x:v>353</x:v>
      </x:c>
      <x:c r="D19" s="23">
        <x:v>1200</x:v>
      </x:c>
      <x:c r="E19" s="23" t="s">
        <x:v>354</x:v>
      </x:c>
      <x:c r="F19" s="23" t="s">
        <x:v>355</x:v>
      </x:c>
      <x:c r="G19" s="23" t="s">
        <x:v>363</x:v>
      </x:c>
      <x:c r="H19" s="23" t="s">
        <x:v>357</x:v>
      </x:c>
      <x:c r="I19" s="23" t="s">
        <x:v>358</x:v>
      </x:c>
      <x:c r="J19" s="23"/>
      <x:c r="K19" s="23" t="s">
        <x:v>359</x:v>
      </x:c>
      <x:c r="L19" s="23" t="s">
        <x:v>360</x:v>
      </x:c>
    </x:row>
    <x:row r="20" ht="27.600000381469727">
      <x:c r="A20" s="23" t="s">
        <x:v>399</x:v>
      </x:c>
      <x:c r="B20" s="23" t="s">
        <x:v>400</x:v>
      </x:c>
      <x:c r="C20" s="23" t="s">
        <x:v>353</x:v>
      </x:c>
      <x:c r="D20" s="23">
        <x:v>1080</x:v>
      </x:c>
      <x:c r="E20" s="23" t="s">
        <x:v>354</x:v>
      </x:c>
      <x:c r="F20" s="23" t="s">
        <x:v>355</x:v>
      </x:c>
      <x:c r="G20" s="23" t="s">
        <x:v>366</x:v>
      </x:c>
      <x:c r="H20" s="23" t="s">
        <x:v>357</x:v>
      </x:c>
      <x:c r="I20" s="23" t="s">
        <x:v>358</x:v>
      </x:c>
      <x:c r="J20" s="23"/>
      <x:c r="K20" s="23" t="s">
        <x:v>359</x:v>
      </x:c>
      <x:c r="L20" s="23" t="s">
        <x:v>360</x:v>
      </x:c>
    </x:row>
    <x:row r="21" ht="27.600000381469727">
      <x:c r="A21" s="23" t="s">
        <x:v>401</x:v>
      </x:c>
      <x:c r="B21" s="23" t="s">
        <x:v>402</x:v>
      </x:c>
      <x:c r="C21" s="23" t="s">
        <x:v>353</x:v>
      </x:c>
      <x:c r="D21" s="23">
        <x:v>3190</x:v>
      </x:c>
      <x:c r="E21" s="23" t="s">
        <x:v>354</x:v>
      </x:c>
      <x:c r="F21" s="23" t="s">
        <x:v>355</x:v>
      </x:c>
      <x:c r="G21" s="23" t="s">
        <x:v>363</x:v>
      </x:c>
      <x:c r="H21" s="23" t="s">
        <x:v>357</x:v>
      </x:c>
      <x:c r="I21" s="23" t="s">
        <x:v>358</x:v>
      </x:c>
      <x:c r="J21" s="23"/>
      <x:c r="K21" s="23" t="s">
        <x:v>403</x:v>
      </x:c>
      <x:c r="L21" s="23" t="s">
        <x:v>360</x:v>
      </x:c>
    </x:row>
    <x:row r="22" ht="27.600000381469727">
      <x:c r="A22" s="23" t="s">
        <x:v>404</x:v>
      </x:c>
      <x:c r="B22" s="23" t="s">
        <x:v>405</x:v>
      </x:c>
      <x:c r="C22" s="23" t="s">
        <x:v>353</x:v>
      </x:c>
      <x:c r="D22" s="23">
        <x:v>3000</x:v>
      </x:c>
      <x:c r="E22" s="23" t="s">
        <x:v>354</x:v>
      </x:c>
      <x:c r="F22" s="23" t="s">
        <x:v>355</x:v>
      </x:c>
      <x:c r="G22" s="23" t="s">
        <x:v>356</x:v>
      </x:c>
      <x:c r="H22" s="23" t="s">
        <x:v>357</x:v>
      </x:c>
      <x:c r="I22" s="23" t="s">
        <x:v>358</x:v>
      </x:c>
      <x:c r="J22" s="23"/>
      <x:c r="K22" s="23" t="s">
        <x:v>359</x:v>
      </x:c>
      <x:c r="L22" s="23" t="s">
        <x:v>360</x:v>
      </x:c>
    </x:row>
    <x:row r="23" ht="27.600000381469727">
      <x:c r="A23" s="23" t="s">
        <x:v>406</x:v>
      </x:c>
      <x:c r="B23" s="23" t="s">
        <x:v>407</x:v>
      </x:c>
      <x:c r="C23" s="23" t="s">
        <x:v>353</x:v>
      </x:c>
      <x:c r="D23" s="23">
        <x:v>2870</x:v>
      </x:c>
      <x:c r="E23" s="23" t="s">
        <x:v>354</x:v>
      </x:c>
      <x:c r="F23" s="23" t="s">
        <x:v>355</x:v>
      </x:c>
      <x:c r="G23" s="23" t="s">
        <x:v>379</x:v>
      </x:c>
      <x:c r="H23" s="23" t="s">
        <x:v>357</x:v>
      </x:c>
      <x:c r="I23" s="23" t="s">
        <x:v>358</x:v>
      </x:c>
      <x:c r="J23" s="23"/>
      <x:c r="K23" s="23" t="s">
        <x:v>359</x:v>
      </x:c>
      <x:c r="L23" s="23" t="s">
        <x:v>360</x:v>
      </x:c>
    </x:row>
    <x:row r="24" ht="41.400001525878906">
      <x:c r="A24" s="23" t="s">
        <x:v>408</x:v>
      </x:c>
      <x:c r="B24" s="23" t="s">
        <x:v>409</x:v>
      </x:c>
      <x:c r="C24" s="23" t="s">
        <x:v>353</x:v>
      </x:c>
      <x:c r="D24" s="23">
        <x:v>2800</x:v>
      </x:c>
      <x:c r="E24" s="23" t="s">
        <x:v>354</x:v>
      </x:c>
      <x:c r="F24" s="23" t="s">
        <x:v>355</x:v>
      </x:c>
      <x:c r="G24" s="23" t="s">
        <x:v>376</x:v>
      </x:c>
      <x:c r="H24" s="23" t="s">
        <x:v>357</x:v>
      </x:c>
      <x:c r="I24" s="23" t="s">
        <x:v>358</x:v>
      </x:c>
      <x:c r="J24" s="23"/>
      <x:c r="K24" s="23" t="s">
        <x:v>359</x:v>
      </x:c>
      <x:c r="L24" s="23" t="s">
        <x:v>360</x:v>
      </x:c>
    </x:row>
    <x:row r="25" ht="27.600000381469727">
      <x:c r="A25" s="23" t="s">
        <x:v>410</x:v>
      </x:c>
      <x:c r="B25" s="23" t="s">
        <x:v>411</x:v>
      </x:c>
      <x:c r="C25" s="23" t="s">
        <x:v>353</x:v>
      </x:c>
      <x:c r="D25" s="23">
        <x:v>2670</x:v>
      </x:c>
      <x:c r="E25" s="23" t="s">
        <x:v>354</x:v>
      </x:c>
      <x:c r="F25" s="23" t="s">
        <x:v>355</x:v>
      </x:c>
      <x:c r="G25" s="23" t="s">
        <x:v>382</x:v>
      </x:c>
      <x:c r="H25" s="23" t="s">
        <x:v>357</x:v>
      </x:c>
      <x:c r="I25" s="23" t="s">
        <x:v>358</x:v>
      </x:c>
      <x:c r="J25" s="23"/>
      <x:c r="K25" s="23" t="s">
        <x:v>359</x:v>
      </x:c>
      <x:c r="L25" s="23" t="s">
        <x:v>360</x:v>
      </x:c>
    </x:row>
    <x:row r="26" ht="27.600000381469727">
      <x:c r="A26" s="23" t="s">
        <x:v>412</x:v>
      </x:c>
      <x:c r="B26" s="23" t="s">
        <x:v>413</x:v>
      </x:c>
      <x:c r="C26" s="23" t="s">
        <x:v>353</x:v>
      </x:c>
      <x:c r="D26" s="23">
        <x:v>2500</x:v>
      </x:c>
      <x:c r="E26" s="23" t="s">
        <x:v>354</x:v>
      </x:c>
      <x:c r="F26" s="23" t="s">
        <x:v>355</x:v>
      </x:c>
      <x:c r="G26" s="23" t="s">
        <x:v>379</x:v>
      </x:c>
      <x:c r="H26" s="23" t="s">
        <x:v>357</x:v>
      </x:c>
      <x:c r="I26" s="23" t="s">
        <x:v>358</x:v>
      </x:c>
      <x:c r="J26" s="23"/>
      <x:c r="K26" s="23" t="s">
        <x:v>359</x:v>
      </x:c>
      <x:c r="L26" s="23" t="s">
        <x:v>360</x:v>
      </x:c>
    </x:row>
    <x:row r="27" ht="27.600000381469727">
      <x:c r="A27" s="23" t="s">
        <x:v>414</x:v>
      </x:c>
      <x:c r="B27" s="23" t="s">
        <x:v>415</x:v>
      </x:c>
      <x:c r="C27" s="23" t="s">
        <x:v>353</x:v>
      </x:c>
      <x:c r="D27" s="23">
        <x:v>1800</x:v>
      </x:c>
      <x:c r="E27" s="23" t="s">
        <x:v>354</x:v>
      </x:c>
      <x:c r="F27" s="23" t="s">
        <x:v>355</x:v>
      </x:c>
      <x:c r="G27" s="23" t="s">
        <x:v>363</x:v>
      </x:c>
      <x:c r="H27" s="23" t="s">
        <x:v>357</x:v>
      </x:c>
      <x:c r="I27" s="23" t="s">
        <x:v>358</x:v>
      </x:c>
      <x:c r="J27" s="23"/>
      <x:c r="K27" s="23" t="s">
        <x:v>359</x:v>
      </x:c>
      <x:c r="L27" s="23" t="s">
        <x:v>360</x:v>
      </x:c>
    </x:row>
    <x:row r="28" ht="27.600000381469727">
      <x:c r="A28" s="23" t="s">
        <x:v>416</x:v>
      </x:c>
      <x:c r="B28" s="23" t="s">
        <x:v>417</x:v>
      </x:c>
      <x:c r="C28" s="23" t="s">
        <x:v>353</x:v>
      </x:c>
      <x:c r="D28" s="23">
        <x:v>9900</x:v>
      </x:c>
      <x:c r="E28" s="23" t="s">
        <x:v>354</x:v>
      </x:c>
      <x:c r="F28" s="23" t="s">
        <x:v>418</x:v>
      </x:c>
      <x:c r="G28" s="23" t="s">
        <x:v>419</x:v>
      </x:c>
      <x:c r="H28" s="23" t="s">
        <x:v>357</x:v>
      </x:c>
      <x:c r="I28" s="23" t="s">
        <x:v>358</x:v>
      </x:c>
      <x:c r="J28" s="23"/>
      <x:c r="K28" s="23" t="s">
        <x:v>359</x:v>
      </x:c>
      <x:c r="L28" s="23" t="s">
        <x:v>360</x:v>
      </x:c>
    </x:row>
    <x:row r="29" ht="27.600000381469727">
      <x:c r="A29" s="23" t="s">
        <x:v>420</x:v>
      </x:c>
      <x:c r="B29" s="23" t="s">
        <x:v>421</x:v>
      </x:c>
      <x:c r="C29" s="23" t="s">
        <x:v>353</x:v>
      </x:c>
      <x:c r="D29" s="23">
        <x:v>4500</x:v>
      </x:c>
      <x:c r="E29" s="23" t="s">
        <x:v>354</x:v>
      </x:c>
      <x:c r="F29" s="23" t="s">
        <x:v>355</x:v>
      </x:c>
      <x:c r="G29" s="23" t="s">
        <x:v>366</x:v>
      </x:c>
      <x:c r="H29" s="23" t="s">
        <x:v>367</x:v>
      </x:c>
      <x:c r="I29" s="23" t="s">
        <x:v>358</x:v>
      </x:c>
      <x:c r="J29" s="23"/>
      <x:c r="K29" s="23" t="s">
        <x:v>403</x:v>
      </x:c>
      <x:c r="L29" s="23" t="s">
        <x:v>360</x:v>
      </x:c>
    </x:row>
    <x:row r="30" ht="27.600000381469727">
      <x:c r="A30" s="23" t="s">
        <x:v>422</x:v>
      </x:c>
      <x:c r="B30" s="23" t="s">
        <x:v>423</x:v>
      </x:c>
      <x:c r="C30" s="23" t="s">
        <x:v>353</x:v>
      </x:c>
      <x:c r="D30" s="23">
        <x:v>4500</x:v>
      </x:c>
      <x:c r="E30" s="23" t="s">
        <x:v>354</x:v>
      </x:c>
      <x:c r="F30" s="23" t="s">
        <x:v>355</x:v>
      </x:c>
      <x:c r="G30" s="23" t="s">
        <x:v>366</x:v>
      </x:c>
      <x:c r="H30" s="23" t="s">
        <x:v>367</x:v>
      </x:c>
      <x:c r="I30" s="23" t="s">
        <x:v>358</x:v>
      </x:c>
      <x:c r="J30" s="23"/>
      <x:c r="K30" s="23" t="s">
        <x:v>359</x:v>
      </x:c>
      <x:c r="L30" s="23" t="s">
        <x:v>360</x:v>
      </x:c>
    </x:row>
    <x:row r="31" ht="41.400001525878906">
      <x:c r="A31" s="23" t="s">
        <x:v>424</x:v>
      </x:c>
      <x:c r="B31" s="23" t="s">
        <x:v>425</x:v>
      </x:c>
      <x:c r="C31" s="23" t="s">
        <x:v>353</x:v>
      </x:c>
      <x:c r="D31" s="23">
        <x:v>4500</x:v>
      </x:c>
      <x:c r="E31" s="23" t="s">
        <x:v>354</x:v>
      </x:c>
      <x:c r="F31" s="23" t="s">
        <x:v>355</x:v>
      </x:c>
      <x:c r="G31" s="23" t="s">
        <x:v>376</x:v>
      </x:c>
      <x:c r="H31" s="23" t="s">
        <x:v>367</x:v>
      </x:c>
      <x:c r="I31" s="23" t="s">
        <x:v>358</x:v>
      </x:c>
      <x:c r="J31" s="23"/>
      <x:c r="K31" s="23" t="s">
        <x:v>359</x:v>
      </x:c>
      <x:c r="L31" s="23" t="s">
        <x:v>360</x:v>
      </x:c>
    </x:row>
    <x:row r="32" ht="27.600000381469727">
      <x:c r="A32" s="23" t="s">
        <x:v>426</x:v>
      </x:c>
      <x:c r="B32" s="23" t="s">
        <x:v>427</x:v>
      </x:c>
      <x:c r="C32" s="23" t="s">
        <x:v>353</x:v>
      </x:c>
      <x:c r="D32" s="23">
        <x:v>4430</x:v>
      </x:c>
      <x:c r="E32" s="23" t="s">
        <x:v>354</x:v>
      </x:c>
      <x:c r="F32" s="23" t="s">
        <x:v>355</x:v>
      </x:c>
      <x:c r="G32" s="23" t="s">
        <x:v>379</x:v>
      </x:c>
      <x:c r="H32" s="23" t="s">
        <x:v>357</x:v>
      </x:c>
      <x:c r="I32" s="23" t="s">
        <x:v>358</x:v>
      </x:c>
      <x:c r="J32" s="23"/>
      <x:c r="K32" s="23" t="s">
        <x:v>359</x:v>
      </x:c>
      <x:c r="L32" s="23" t="s">
        <x:v>360</x:v>
      </x:c>
    </x:row>
    <x:row r="33" ht="27.600000381469727">
      <x:c r="A33" s="23" t="s">
        <x:v>428</x:v>
      </x:c>
      <x:c r="B33" s="23" t="s">
        <x:v>429</x:v>
      </x:c>
      <x:c r="C33" s="23" t="s">
        <x:v>353</x:v>
      </x:c>
      <x:c r="D33" s="23">
        <x:v>4000</x:v>
      </x:c>
      <x:c r="E33" s="23" t="s">
        <x:v>354</x:v>
      </x:c>
      <x:c r="F33" s="23" t="s">
        <x:v>355</x:v>
      </x:c>
      <x:c r="G33" s="23" t="s">
        <x:v>379</x:v>
      </x:c>
      <x:c r="H33" s="23" t="s">
        <x:v>367</x:v>
      </x:c>
      <x:c r="I33" s="23" t="s">
        <x:v>358</x:v>
      </x:c>
      <x:c r="J33" s="23"/>
      <x:c r="K33" s="23" t="s">
        <x:v>359</x:v>
      </x:c>
      <x:c r="L33" s="23" t="s">
        <x:v>360</x:v>
      </x:c>
    </x:row>
    <x:row r="34" ht="27.600000381469727">
      <x:c r="A34" s="23" t="s">
        <x:v>430</x:v>
      </x:c>
      <x:c r="B34" s="23" t="s">
        <x:v>431</x:v>
      </x:c>
      <x:c r="C34" s="23" t="s">
        <x:v>353</x:v>
      </x:c>
      <x:c r="D34" s="23">
        <x:v>3780</x:v>
      </x:c>
      <x:c r="E34" s="23" t="s">
        <x:v>354</x:v>
      </x:c>
      <x:c r="F34" s="23" t="s">
        <x:v>355</x:v>
      </x:c>
      <x:c r="G34" s="23" t="s">
        <x:v>382</x:v>
      </x:c>
      <x:c r="H34" s="23" t="s">
        <x:v>367</x:v>
      </x:c>
      <x:c r="I34" s="23" t="s">
        <x:v>358</x:v>
      </x:c>
      <x:c r="J34" s="23"/>
      <x:c r="K34" s="23" t="s">
        <x:v>359</x:v>
      </x:c>
      <x:c r="L34" s="23" t="s">
        <x:v>360</x:v>
      </x:c>
    </x:row>
    <x:row r="35" ht="27.600000381469727">
      <x:c r="A35" s="23" t="s">
        <x:v>432</x:v>
      </x:c>
      <x:c r="B35" s="23" t="s">
        <x:v>433</x:v>
      </x:c>
      <x:c r="C35" s="23" t="s">
        <x:v>353</x:v>
      </x:c>
      <x:c r="D35" s="23">
        <x:v>3080</x:v>
      </x:c>
      <x:c r="E35" s="23" t="s">
        <x:v>354</x:v>
      </x:c>
      <x:c r="F35" s="23" t="s">
        <x:v>355</x:v>
      </x:c>
      <x:c r="G35" s="23" t="s">
        <x:v>363</x:v>
      </x:c>
      <x:c r="H35" s="23" t="s">
        <x:v>357</x:v>
      </x:c>
      <x:c r="I35" s="23" t="s">
        <x:v>358</x:v>
      </x:c>
      <x:c r="J35" s="23"/>
      <x:c r="K35" s="23" t="s">
        <x:v>359</x:v>
      </x:c>
      <x:c r="L35" s="23" t="s">
        <x:v>360</x:v>
      </x:c>
    </x:row>
    <x:row r="36" ht="27.600000381469727">
      <x:c r="A36" s="23" t="s">
        <x:v>434</x:v>
      </x:c>
      <x:c r="B36" s="23" t="s">
        <x:v>435</x:v>
      </x:c>
      <x:c r="C36" s="23" t="s">
        <x:v>353</x:v>
      </x:c>
      <x:c r="D36" s="23">
        <x:v>3000</x:v>
      </x:c>
      <x:c r="E36" s="23" t="s">
        <x:v>354</x:v>
      </x:c>
      <x:c r="F36" s="23" t="s">
        <x:v>355</x:v>
      </x:c>
      <x:c r="G36" s="23" t="s">
        <x:v>363</x:v>
      </x:c>
      <x:c r="H36" s="23" t="s">
        <x:v>357</x:v>
      </x:c>
      <x:c r="I36" s="23" t="s">
        <x:v>358</x:v>
      </x:c>
      <x:c r="J36" s="23"/>
      <x:c r="K36" s="23" t="s">
        <x:v>359</x:v>
      </x:c>
      <x:c r="L36" s="23" t="s">
        <x:v>360</x:v>
      </x:c>
    </x:row>
    <x:row r="37" ht="27.600000381469727">
      <x:c r="A37" s="23" t="s">
        <x:v>436</x:v>
      </x:c>
      <x:c r="B37" s="23" t="s">
        <x:v>437</x:v>
      </x:c>
      <x:c r="C37" s="23" t="s">
        <x:v>353</x:v>
      </x:c>
      <x:c r="D37" s="23">
        <x:v>2880</x:v>
      </x:c>
      <x:c r="E37" s="23" t="s">
        <x:v>354</x:v>
      </x:c>
      <x:c r="F37" s="23" t="s">
        <x:v>355</x:v>
      </x:c>
      <x:c r="G37" s="23" t="s">
        <x:v>366</x:v>
      </x:c>
      <x:c r="H37" s="23" t="s">
        <x:v>357</x:v>
      </x:c>
      <x:c r="I37" s="23" t="s">
        <x:v>358</x:v>
      </x:c>
      <x:c r="J37" s="23"/>
      <x:c r="K37" s="23" t="s">
        <x:v>359</x:v>
      </x:c>
      <x:c r="L37" s="23" t="s">
        <x:v>360</x:v>
      </x:c>
    </x:row>
    <x:row r="38" ht="27.600000381469727">
      <x:c r="A38" s="23" t="s">
        <x:v>438</x:v>
      </x:c>
      <x:c r="B38" s="23" t="s">
        <x:v>439</x:v>
      </x:c>
      <x:c r="C38" s="23" t="s">
        <x:v>353</x:v>
      </x:c>
      <x:c r="D38" s="23">
        <x:v>11100</x:v>
      </x:c>
      <x:c r="E38" s="23" t="s">
        <x:v>354</x:v>
      </x:c>
      <x:c r="F38" s="23" t="s">
        <x:v>418</x:v>
      </x:c>
      <x:c r="G38" s="23" t="s">
        <x:v>419</x:v>
      </x:c>
      <x:c r="H38" s="23" t="s">
        <x:v>357</x:v>
      </x:c>
      <x:c r="I38" s="23" t="s">
        <x:v>358</x:v>
      </x:c>
      <x:c r="J38" s="23"/>
      <x:c r="K38" s="23" t="s">
        <x:v>359</x:v>
      </x:c>
      <x:c r="L38" s="23" t="s">
        <x:v>360</x:v>
      </x:c>
    </x:row>
    <x:row r="39" ht="27.600000381469727">
      <x:c r="A39" s="23" t="s">
        <x:v>440</x:v>
      </x:c>
      <x:c r="B39" s="23" t="s">
        <x:v>441</x:v>
      </x:c>
      <x:c r="C39" s="23" t="s">
        <x:v>353</x:v>
      </x:c>
      <x:c r="D39" s="23">
        <x:v>8480</x:v>
      </x:c>
      <x:c r="E39" s="23" t="s">
        <x:v>354</x:v>
      </x:c>
      <x:c r="F39" s="23" t="s">
        <x:v>355</x:v>
      </x:c>
      <x:c r="G39" s="23" t="s">
        <x:v>379</x:v>
      </x:c>
      <x:c r="H39" s="23" t="s">
        <x:v>367</x:v>
      </x:c>
      <x:c r="I39" s="23" t="s">
        <x:v>358</x:v>
      </x:c>
      <x:c r="J39" s="23"/>
      <x:c r="K39" s="23" t="s">
        <x:v>359</x:v>
      </x:c>
      <x:c r="L39" s="23" t="s">
        <x:v>360</x:v>
      </x:c>
    </x:row>
    <x:row r="40" ht="27.600000381469727">
      <x:c r="A40" s="23" t="s">
        <x:v>442</x:v>
      </x:c>
      <x:c r="B40" s="23" t="s">
        <x:v>443</x:v>
      </x:c>
      <x:c r="C40" s="23" t="s">
        <x:v>353</x:v>
      </x:c>
      <x:c r="D40" s="23">
        <x:v>6560</x:v>
      </x:c>
      <x:c r="E40" s="23" t="s">
        <x:v>354</x:v>
      </x:c>
      <x:c r="F40" s="23" t="s">
        <x:v>355</x:v>
      </x:c>
      <x:c r="G40" s="23" t="s">
        <x:v>379</x:v>
      </x:c>
      <x:c r="H40" s="23" t="s">
        <x:v>357</x:v>
      </x:c>
      <x:c r="I40" s="23" t="s">
        <x:v>358</x:v>
      </x:c>
      <x:c r="J40" s="23"/>
      <x:c r="K40" s="23" t="s">
        <x:v>359</x:v>
      </x:c>
      <x:c r="L40" s="23" t="s">
        <x:v>360</x:v>
      </x:c>
    </x:row>
    <x:row r="41" ht="27.600000381469727">
      <x:c r="A41" s="23" t="s">
        <x:v>444</x:v>
      </x:c>
      <x:c r="B41" s="23" t="s">
        <x:v>445</x:v>
      </x:c>
      <x:c r="C41" s="23" t="s">
        <x:v>353</x:v>
      </x:c>
      <x:c r="D41" s="23">
        <x:v>5800</x:v>
      </x:c>
      <x:c r="E41" s="23" t="s">
        <x:v>354</x:v>
      </x:c>
      <x:c r="F41" s="23" t="s">
        <x:v>355</x:v>
      </x:c>
      <x:c r="G41" s="23" t="s">
        <x:v>366</x:v>
      </x:c>
      <x:c r="H41" s="23" t="s">
        <x:v>357</x:v>
      </x:c>
      <x:c r="I41" s="23" t="s">
        <x:v>358</x:v>
      </x:c>
      <x:c r="J41" s="23"/>
      <x:c r="K41" s="23" t="s">
        <x:v>403</x:v>
      </x:c>
      <x:c r="L41" s="23" t="s">
        <x:v>360</x:v>
      </x:c>
    </x:row>
    <x:row r="42" ht="27.600000381469727">
      <x:c r="A42" s="23" t="s">
        <x:v>446</x:v>
      </x:c>
      <x:c r="B42" s="23" t="s">
        <x:v>447</x:v>
      </x:c>
      <x:c r="C42" s="23" t="s">
        <x:v>353</x:v>
      </x:c>
      <x:c r="D42" s="23">
        <x:v>5800</x:v>
      </x:c>
      <x:c r="E42" s="23" t="s">
        <x:v>354</x:v>
      </x:c>
      <x:c r="F42" s="23" t="s">
        <x:v>355</x:v>
      </x:c>
      <x:c r="G42" s="23" t="s">
        <x:v>366</x:v>
      </x:c>
      <x:c r="H42" s="23" t="s">
        <x:v>357</x:v>
      </x:c>
      <x:c r="I42" s="23" t="s">
        <x:v>358</x:v>
      </x:c>
      <x:c r="J42" s="23"/>
      <x:c r="K42" s="23" t="s">
        <x:v>359</x:v>
      </x:c>
      <x:c r="L42" s="23" t="s">
        <x:v>360</x:v>
      </x:c>
    </x:row>
    <x:row r="43" ht="41.400001525878906">
      <x:c r="A43" s="23" t="s">
        <x:v>448</x:v>
      </x:c>
      <x:c r="B43" s="23" t="s">
        <x:v>449</x:v>
      </x:c>
      <x:c r="C43" s="23" t="s">
        <x:v>353</x:v>
      </x:c>
      <x:c r="D43" s="23">
        <x:v>5800</x:v>
      </x:c>
      <x:c r="E43" s="23" t="s">
        <x:v>354</x:v>
      </x:c>
      <x:c r="F43" s="23" t="s">
        <x:v>355</x:v>
      </x:c>
      <x:c r="G43" s="23" t="s">
        <x:v>376</x:v>
      </x:c>
      <x:c r="H43" s="23" t="s">
        <x:v>357</x:v>
      </x:c>
      <x:c r="I43" s="23" t="s">
        <x:v>358</x:v>
      </x:c>
      <x:c r="J43" s="23"/>
      <x:c r="K43" s="23" t="s">
        <x:v>359</x:v>
      </x:c>
      <x:c r="L43" s="23" t="s">
        <x:v>360</x:v>
      </x:c>
    </x:row>
    <x:row r="44" ht="27.600000381469727">
      <x:c r="A44" s="23" t="s">
        <x:v>450</x:v>
      </x:c>
      <x:c r="B44" s="23" t="s">
        <x:v>451</x:v>
      </x:c>
      <x:c r="C44" s="23" t="s">
        <x:v>353</x:v>
      </x:c>
      <x:c r="D44" s="23">
        <x:v>5700</x:v>
      </x:c>
      <x:c r="E44" s="23" t="s">
        <x:v>354</x:v>
      </x:c>
      <x:c r="F44" s="23" t="s">
        <x:v>355</x:v>
      </x:c>
      <x:c r="G44" s="23" t="s">
        <x:v>366</x:v>
      </x:c>
      <x:c r="H44" s="23" t="s">
        <x:v>357</x:v>
      </x:c>
      <x:c r="I44" s="23" t="s">
        <x:v>358</x:v>
      </x:c>
      <x:c r="J44" s="23"/>
      <x:c r="K44" s="23" t="s">
        <x:v>359</x:v>
      </x:c>
      <x:c r="L44" s="23" t="s">
        <x:v>360</x:v>
      </x:c>
    </x:row>
    <x:row r="45" ht="27.600000381469727">
      <x:c r="A45" s="23" t="s">
        <x:v>452</x:v>
      </x:c>
      <x:c r="B45" s="23" t="s">
        <x:v>453</x:v>
      </x:c>
      <x:c r="C45" s="23" t="s">
        <x:v>353</x:v>
      </x:c>
      <x:c r="D45" s="23">
        <x:v>8700</x:v>
      </x:c>
      <x:c r="E45" s="23" t="s">
        <x:v>354</x:v>
      </x:c>
      <x:c r="F45" s="23" t="s">
        <x:v>355</x:v>
      </x:c>
      <x:c r="G45" s="23" t="s">
        <x:v>366</x:v>
      </x:c>
      <x:c r="H45" s="23" t="s">
        <x:v>367</x:v>
      </x:c>
      <x:c r="I45" s="23" t="s">
        <x:v>358</x:v>
      </x:c>
      <x:c r="J45" s="23"/>
      <x:c r="K45" s="23" t="s">
        <x:v>403</x:v>
      </x:c>
      <x:c r="L45" s="23" t="s">
        <x:v>360</x:v>
      </x:c>
    </x:row>
    <x:row r="46" ht="27.600000381469727">
      <x:c r="A46" s="23" t="s">
        <x:v>454</x:v>
      </x:c>
      <x:c r="B46" s="23" t="s">
        <x:v>455</x:v>
      </x:c>
      <x:c r="C46" s="23" t="s">
        <x:v>353</x:v>
      </x:c>
      <x:c r="D46" s="23">
        <x:v>8700</x:v>
      </x:c>
      <x:c r="E46" s="23" t="s">
        <x:v>354</x:v>
      </x:c>
      <x:c r="F46" s="23" t="s">
        <x:v>355</x:v>
      </x:c>
      <x:c r="G46" s="23" t="s">
        <x:v>366</x:v>
      </x:c>
      <x:c r="H46" s="23" t="s">
        <x:v>367</x:v>
      </x:c>
      <x:c r="I46" s="23" t="s">
        <x:v>358</x:v>
      </x:c>
      <x:c r="J46" s="23"/>
      <x:c r="K46" s="23" t="s">
        <x:v>359</x:v>
      </x:c>
      <x:c r="L46" s="23" t="s">
        <x:v>360</x:v>
      </x:c>
    </x:row>
    <x:row r="47" ht="27.600000381469727">
      <x:c r="A47" s="23" t="s">
        <x:v>456</x:v>
      </x:c>
      <x:c r="B47" s="23" t="s">
        <x:v>457</x:v>
      </x:c>
      <x:c r="C47" s="23" t="s">
        <x:v>353</x:v>
      </x:c>
      <x:c r="D47" s="23">
        <x:v>8500</x:v>
      </x:c>
      <x:c r="E47" s="23" t="s">
        <x:v>354</x:v>
      </x:c>
      <x:c r="F47" s="23" t="s">
        <x:v>355</x:v>
      </x:c>
      <x:c r="G47" s="23" t="s">
        <x:v>366</x:v>
      </x:c>
      <x:c r="H47" s="23" t="s">
        <x:v>367</x:v>
      </x:c>
      <x:c r="I47" s="23" t="s">
        <x:v>358</x:v>
      </x:c>
      <x:c r="J47" s="23"/>
      <x:c r="K47" s="23" t="s">
        <x:v>359</x:v>
      </x:c>
      <x:c r="L47" s="23" t="s">
        <x:v>360</x:v>
      </x:c>
    </x:row>
    <x:row r="48" ht="41.400001525878906">
      <x:c r="A48" s="23" t="s">
        <x:v>458</x:v>
      </x:c>
      <x:c r="B48" s="23" t="s">
        <x:v>459</x:v>
      </x:c>
      <x:c r="C48" s="23" t="s">
        <x:v>353</x:v>
      </x:c>
      <x:c r="D48" s="23">
        <x:v>8500</x:v>
      </x:c>
      <x:c r="E48" s="23" t="s">
        <x:v>354</x:v>
      </x:c>
      <x:c r="F48" s="23" t="s">
        <x:v>355</x:v>
      </x:c>
      <x:c r="G48" s="23" t="s">
        <x:v>376</x:v>
      </x:c>
      <x:c r="H48" s="23" t="s">
        <x:v>367</x:v>
      </x:c>
      <x:c r="I48" s="23" t="s">
        <x:v>358</x:v>
      </x:c>
      <x:c r="J48" s="23"/>
      <x:c r="K48" s="23" t="s">
        <x:v>359</x:v>
      </x:c>
      <x:c r="L48" s="23" t="s">
        <x:v>360</x:v>
      </x:c>
    </x:row>
    <x:row r="49" ht="27.600000381469727">
      <x:c r="A49" s="23" t="s">
        <x:v>460</x:v>
      </x:c>
      <x:c r="B49" s="23" t="s">
        <x:v>461</x:v>
      </x:c>
      <x:c r="C49" s="23" t="s">
        <x:v>353</x:v>
      </x:c>
      <x:c r="D49" s="23">
        <x:v>8500</x:v>
      </x:c>
      <x:c r="E49" s="23" t="s">
        <x:v>354</x:v>
      </x:c>
      <x:c r="F49" s="23" t="s">
        <x:v>355</x:v>
      </x:c>
      <x:c r="G49" s="23" t="s">
        <x:v>419</x:v>
      </x:c>
      <x:c r="H49" s="23" t="s">
        <x:v>367</x:v>
      </x:c>
      <x:c r="I49" s="23" t="s">
        <x:v>358</x:v>
      </x:c>
      <x:c r="J49" s="23"/>
      <x:c r="K49" s="23" t="s">
        <x:v>359</x:v>
      </x:c>
      <x:c r="L49" s="23" t="s">
        <x:v>360</x:v>
      </x:c>
    </x:row>
    <x:row r="50" ht="27.600000381469727">
      <x:c r="A50" s="23" t="s">
        <x:v>462</x:v>
      </x:c>
      <x:c r="B50" s="23" t="s">
        <x:v>463</x:v>
      </x:c>
      <x:c r="C50" s="23" t="s">
        <x:v>353</x:v>
      </x:c>
      <x:c r="D50" s="23">
        <x:v>8340</x:v>
      </x:c>
      <x:c r="E50" s="23" t="s">
        <x:v>354</x:v>
      </x:c>
      <x:c r="F50" s="23" t="s">
        <x:v>355</x:v>
      </x:c>
      <x:c r="G50" s="23" t="s">
        <x:v>379</x:v>
      </x:c>
      <x:c r="H50" s="23" t="s">
        <x:v>367</x:v>
      </x:c>
      <x:c r="I50" s="23" t="s">
        <x:v>358</x:v>
      </x:c>
      <x:c r="J50" s="23"/>
      <x:c r="K50" s="23" t="s">
        <x:v>359</x:v>
      </x:c>
      <x:c r="L50" s="23" t="s">
        <x:v>360</x:v>
      </x:c>
    </x:row>
    <x:row r="51" ht="27.600000381469727">
      <x:c r="A51" s="23" t="s">
        <x:v>464</x:v>
      </x:c>
      <x:c r="B51" s="23" t="s">
        <x:v>465</x:v>
      </x:c>
      <x:c r="C51" s="23" t="s">
        <x:v>353</x:v>
      </x:c>
      <x:c r="D51" s="23">
        <x:v>8000</x:v>
      </x:c>
      <x:c r="E51" s="23" t="s">
        <x:v>354</x:v>
      </x:c>
      <x:c r="F51" s="23" t="s">
        <x:v>355</x:v>
      </x:c>
      <x:c r="G51" s="23" t="s">
        <x:v>356</x:v>
      </x:c>
      <x:c r="H51" s="23" t="s">
        <x:v>367</x:v>
      </x:c>
      <x:c r="I51" s="23" t="s">
        <x:v>358</x:v>
      </x:c>
      <x:c r="J51" s="23"/>
      <x:c r="K51" s="23" t="s">
        <x:v>359</x:v>
      </x:c>
      <x:c r="L51" s="23" t="s">
        <x:v>360</x:v>
      </x:c>
    </x:row>
    <x:row r="52" ht="27.600000381469727">
      <x:c r="A52" s="23" t="s">
        <x:v>466</x:v>
      </x:c>
      <x:c r="B52" s="23" t="s">
        <x:v>467</x:v>
      </x:c>
      <x:c r="C52" s="23" t="s">
        <x:v>353</x:v>
      </x:c>
      <x:c r="D52" s="23">
        <x:v>20000</x:v>
      </x:c>
      <x:c r="E52" s="23" t="s">
        <x:v>354</x:v>
      </x:c>
      <x:c r="F52" s="23" t="s">
        <x:v>355</x:v>
      </x:c>
      <x:c r="G52" s="23" t="s">
        <x:v>379</x:v>
      </x:c>
      <x:c r="H52" s="23" t="s">
        <x:v>357</x:v>
      </x:c>
      <x:c r="I52" s="23" t="s">
        <x:v>358</x:v>
      </x:c>
      <x:c r="J52" s="23"/>
      <x:c r="K52" s="23" t="s">
        <x:v>359</x:v>
      </x:c>
      <x:c r="L52" s="23" t="s">
        <x:v>360</x:v>
      </x:c>
    </x:row>
    <x:row r="53" ht="27.600000381469727">
      <x:c r="A53" s="23" t="s">
        <x:v>468</x:v>
      </x:c>
      <x:c r="B53" s="23" t="s">
        <x:v>469</x:v>
      </x:c>
      <x:c r="C53" s="23" t="s">
        <x:v>353</x:v>
      </x:c>
      <x:c r="D53" s="23">
        <x:v>24000</x:v>
      </x:c>
      <x:c r="E53" s="23" t="s">
        <x:v>354</x:v>
      </x:c>
      <x:c r="F53" s="23" t="s">
        <x:v>355</x:v>
      </x:c>
      <x:c r="G53" s="23" t="s">
        <x:v>379</x:v>
      </x:c>
      <x:c r="H53" s="23" t="s">
        <x:v>357</x:v>
      </x:c>
      <x:c r="I53" s="23" t="s">
        <x:v>358</x:v>
      </x:c>
      <x:c r="J53" s="23"/>
      <x:c r="K53" s="23" t="s">
        <x:v>359</x:v>
      </x:c>
      <x:c r="L53" s="23" t="s">
        <x:v>360</x:v>
      </x:c>
    </x:row>
    <x:row r="54" ht="27.600000381469727">
      <x:c r="A54" s="23" t="s">
        <x:v>470</x:v>
      </x:c>
      <x:c r="B54" s="23" t="s">
        <x:v>471</x:v>
      </x:c>
      <x:c r="C54" s="23" t="s">
        <x:v>472</x:v>
      </x:c>
      <x:c r="D54" s="23">
        <x:v>8000</x:v>
      </x:c>
      <x:c r="E54" s="23" t="s">
        <x:v>354</x:v>
      </x:c>
      <x:c r="F54" s="23" t="s">
        <x:v>355</x:v>
      </x:c>
      <x:c r="G54" s="23" t="s">
        <x:v>376</x:v>
      </x:c>
      <x:c r="H54" s="23" t="s">
        <x:v>367</x:v>
      </x:c>
      <x:c r="I54" s="23" t="s">
        <x:v>358</x:v>
      </x:c>
      <x:c r="J54" s="23"/>
      <x:c r="K54" s="23" t="s">
        <x:v>403</x:v>
      </x:c>
      <x:c r="L54" s="23" t="s">
        <x:v>473</x:v>
      </x:c>
    </x:row>
    <x:row r="55" ht="27.600000381469727">
      <x:c r="A55" s="23" t="s">
        <x:v>474</x:v>
      </x:c>
      <x:c r="B55" s="23" t="s">
        <x:v>475</x:v>
      </x:c>
      <x:c r="C55" s="23" t="s">
        <x:v>472</x:v>
      </x:c>
      <x:c r="D55" s="23">
        <x:v>8000</x:v>
      </x:c>
      <x:c r="E55" s="23" t="s">
        <x:v>354</x:v>
      </x:c>
      <x:c r="F55" s="23" t="s">
        <x:v>355</x:v>
      </x:c>
      <x:c r="G55" s="23" t="s">
        <x:v>376</x:v>
      </x:c>
      <x:c r="H55" s="23" t="s">
        <x:v>357</x:v>
      </x:c>
      <x:c r="I55" s="23" t="s">
        <x:v>358</x:v>
      </x:c>
      <x:c r="J55" s="23"/>
      <x:c r="K55" s="23" t="s">
        <x:v>359</x:v>
      </x:c>
      <x:c r="L55" s="23" t="s">
        <x:v>473</x:v>
      </x:c>
    </x:row>
    <x:row r="56" ht="27.600000381469727">
      <x:c r="A56" s="23" t="s">
        <x:v>476</x:v>
      </x:c>
      <x:c r="B56" s="23" t="s">
        <x:v>477</x:v>
      </x:c>
      <x:c r="C56" s="23" t="s">
        <x:v>472</x:v>
      </x:c>
      <x:c r="D56" s="23">
        <x:v>9000</x:v>
      </x:c>
      <x:c r="E56" s="23" t="s">
        <x:v>354</x:v>
      </x:c>
      <x:c r="F56" s="23" t="s">
        <x:v>355</x:v>
      </x:c>
      <x:c r="G56" s="23" t="s">
        <x:v>419</x:v>
      </x:c>
      <x:c r="H56" s="23" t="s">
        <x:v>367</x:v>
      </x:c>
      <x:c r="I56" s="23" t="s">
        <x:v>358</x:v>
      </x:c>
      <x:c r="J56" s="23"/>
      <x:c r="K56" s="23" t="s">
        <x:v>359</x:v>
      </x:c>
      <x:c r="L56" s="23" t="s">
        <x:v>473</x:v>
      </x:c>
    </x:row>
    <x:row r="57" ht="27.600000381469727">
      <x:c r="A57" s="23" t="s">
        <x:v>478</x:v>
      </x:c>
      <x:c r="B57" s="23" t="s">
        <x:v>479</x:v>
      </x:c>
      <x:c r="C57" s="23" t="s">
        <x:v>472</x:v>
      </x:c>
      <x:c r="D57" s="23">
        <x:v>10000</x:v>
      </x:c>
      <x:c r="E57" s="23" t="s">
        <x:v>354</x:v>
      </x:c>
      <x:c r="F57" s="23" t="s">
        <x:v>355</x:v>
      </x:c>
      <x:c r="G57" s="23" t="s">
        <x:v>376</x:v>
      </x:c>
      <x:c r="H57" s="23" t="s">
        <x:v>357</x:v>
      </x:c>
      <x:c r="I57" s="23" t="s">
        <x:v>358</x:v>
      </x:c>
      <x:c r="J57" s="23"/>
      <x:c r="K57" s="23" t="s">
        <x:v>403</x:v>
      </x:c>
      <x:c r="L57" s="23" t="s">
        <x:v>473</x:v>
      </x:c>
    </x:row>
    <x:row r="58" ht="27.600000381469727">
      <x:c r="A58" s="23" t="s">
        <x:v>480</x:v>
      </x:c>
      <x:c r="B58" s="23" t="s">
        <x:v>481</x:v>
      </x:c>
      <x:c r="C58" s="23" t="s">
        <x:v>472</x:v>
      </x:c>
      <x:c r="D58" s="23">
        <x:v>10000</x:v>
      </x:c>
      <x:c r="E58" s="23" t="s">
        <x:v>354</x:v>
      </x:c>
      <x:c r="F58" s="23" t="s">
        <x:v>355</x:v>
      </x:c>
      <x:c r="G58" s="23" t="s">
        <x:v>376</x:v>
      </x:c>
      <x:c r="H58" s="23" t="s">
        <x:v>357</x:v>
      </x:c>
      <x:c r="I58" s="23" t="s">
        <x:v>358</x:v>
      </x:c>
      <x:c r="J58" s="23"/>
      <x:c r="K58" s="23" t="s">
        <x:v>359</x:v>
      </x:c>
      <x:c r="L58" s="23" t="s">
        <x:v>473</x:v>
      </x:c>
    </x:row>
    <x:row r="59" ht="27.600000381469727">
      <x:c r="A59" s="23" t="s">
        <x:v>482</x:v>
      </x:c>
      <x:c r="B59" s="23" t="s">
        <x:v>483</x:v>
      </x:c>
      <x:c r="C59" s="23" t="s">
        <x:v>472</x:v>
      </x:c>
      <x:c r="D59" s="23">
        <x:v>10000</x:v>
      </x:c>
      <x:c r="E59" s="23" t="s">
        <x:v>354</x:v>
      </x:c>
      <x:c r="F59" s="23" t="s">
        <x:v>355</x:v>
      </x:c>
      <x:c r="G59" s="23" t="s">
        <x:v>419</x:v>
      </x:c>
      <x:c r="H59" s="23" t="s">
        <x:v>484</x:v>
      </x:c>
      <x:c r="I59" s="23" t="s">
        <x:v>358</x:v>
      </x:c>
      <x:c r="J59" s="23"/>
      <x:c r="K59" s="23" t="s">
        <x:v>359</x:v>
      </x:c>
      <x:c r="L59" s="23" t="s">
        <x:v>473</x:v>
      </x:c>
    </x:row>
    <x:row r="60" ht="27.600000381469727">
      <x:c r="A60" s="23" t="s">
        <x:v>485</x:v>
      </x:c>
      <x:c r="B60" s="23" t="s">
        <x:v>486</x:v>
      </x:c>
      <x:c r="C60" s="23" t="s">
        <x:v>472</x:v>
      </x:c>
      <x:c r="D60" s="23">
        <x:v>15000</x:v>
      </x:c>
      <x:c r="E60" s="23" t="s">
        <x:v>354</x:v>
      </x:c>
      <x:c r="F60" s="23" t="s">
        <x:v>355</x:v>
      </x:c>
      <x:c r="G60" s="23" t="s">
        <x:v>376</x:v>
      </x:c>
      <x:c r="H60" s="23" t="s">
        <x:v>357</x:v>
      </x:c>
      <x:c r="I60" s="23" t="s">
        <x:v>358</x:v>
      </x:c>
      <x:c r="J60" s="23"/>
      <x:c r="K60" s="23" t="s">
        <x:v>403</x:v>
      </x:c>
      <x:c r="L60" s="23" t="s">
        <x:v>473</x:v>
      </x:c>
    </x:row>
    <x:row r="61" ht="27.600000381469727">
      <x:c r="A61" s="23" t="s">
        <x:v>487</x:v>
      </x:c>
      <x:c r="B61" s="23" t="s">
        <x:v>488</x:v>
      </x:c>
      <x:c r="C61" s="23" t="s">
        <x:v>472</x:v>
      </x:c>
      <x:c r="D61" s="23">
        <x:v>15000</x:v>
      </x:c>
      <x:c r="E61" s="23" t="s">
        <x:v>354</x:v>
      </x:c>
      <x:c r="F61" s="23" t="s">
        <x:v>355</x:v>
      </x:c>
      <x:c r="G61" s="23" t="s">
        <x:v>376</x:v>
      </x:c>
      <x:c r="H61" s="23" t="s">
        <x:v>357</x:v>
      </x:c>
      <x:c r="I61" s="23" t="s">
        <x:v>358</x:v>
      </x:c>
      <x:c r="J61" s="23"/>
      <x:c r="K61" s="23" t="s">
        <x:v>359</x:v>
      </x:c>
      <x:c r="L61" s="23" t="s">
        <x:v>473</x:v>
      </x:c>
    </x:row>
    <x:row r="62" ht="27.600000381469727">
      <x:c r="A62" s="23" t="s">
        <x:v>489</x:v>
      </x:c>
      <x:c r="B62" s="23" t="s">
        <x:v>490</x:v>
      </x:c>
      <x:c r="C62" s="23" t="s">
        <x:v>472</x:v>
      </x:c>
      <x:c r="D62" s="23">
        <x:v>16000</x:v>
      </x:c>
      <x:c r="E62" s="23" t="s">
        <x:v>354</x:v>
      </x:c>
      <x:c r="F62" s="23" t="s">
        <x:v>355</x:v>
      </x:c>
      <x:c r="G62" s="23" t="s">
        <x:v>419</x:v>
      </x:c>
      <x:c r="H62" s="23" t="s">
        <x:v>357</x:v>
      </x:c>
      <x:c r="I62" s="23" t="s">
        <x:v>358</x:v>
      </x:c>
      <x:c r="J62" s="23"/>
      <x:c r="K62" s="23" t="s">
        <x:v>403</x:v>
      </x:c>
      <x:c r="L62" s="23" t="s">
        <x:v>473</x:v>
      </x:c>
    </x:row>
    <x:row r="63" ht="27.600000381469727">
      <x:c r="A63" s="23" t="s">
        <x:v>491</x:v>
      </x:c>
      <x:c r="B63" s="23" t="s">
        <x:v>492</x:v>
      </x:c>
      <x:c r="C63" s="23" t="s">
        <x:v>472</x:v>
      </x:c>
      <x:c r="D63" s="23">
        <x:v>16000</x:v>
      </x:c>
      <x:c r="E63" s="23" t="s">
        <x:v>354</x:v>
      </x:c>
      <x:c r="F63" s="23" t="s">
        <x:v>355</x:v>
      </x:c>
      <x:c r="G63" s="23" t="s">
        <x:v>419</x:v>
      </x:c>
      <x:c r="H63" s="23" t="s">
        <x:v>357</x:v>
      </x:c>
      <x:c r="I63" s="23" t="s">
        <x:v>358</x:v>
      </x:c>
      <x:c r="J63" s="23"/>
      <x:c r="K63" s="23" t="s">
        <x:v>359</x:v>
      </x:c>
      <x:c r="L63" s="23" t="s">
        <x:v>473</x:v>
      </x:c>
    </x:row>
    <x:row r="64" ht="27.600000381469727">
      <x:c r="A64" s="23" t="s">
        <x:v>493</x:v>
      </x:c>
      <x:c r="B64" s="23" t="s">
        <x:v>494</x:v>
      </x:c>
      <x:c r="C64" s="23" t="s">
        <x:v>472</x:v>
      </x:c>
      <x:c r="D64" s="23">
        <x:v>17000</x:v>
      </x:c>
      <x:c r="E64" s="23" t="s">
        <x:v>354</x:v>
      </x:c>
      <x:c r="F64" s="23" t="s">
        <x:v>355</x:v>
      </x:c>
      <x:c r="G64" s="23" t="s">
        <x:v>419</x:v>
      </x:c>
      <x:c r="H64" s="23" t="s">
        <x:v>357</x:v>
      </x:c>
      <x:c r="I64" s="23" t="s">
        <x:v>358</x:v>
      </x:c>
      <x:c r="J64" s="23"/>
      <x:c r="K64" s="23" t="s">
        <x:v>403</x:v>
      </x:c>
      <x:c r="L64" s="23" t="s">
        <x:v>473</x:v>
      </x:c>
    </x:row>
    <x:row r="65" ht="27.600000381469727">
      <x:c r="A65" s="23" t="s">
        <x:v>495</x:v>
      </x:c>
      <x:c r="B65" s="23" t="s">
        <x:v>496</x:v>
      </x:c>
      <x:c r="C65" s="23" t="s">
        <x:v>472</x:v>
      </x:c>
      <x:c r="D65" s="23">
        <x:v>17000</x:v>
      </x:c>
      <x:c r="E65" s="23" t="s">
        <x:v>354</x:v>
      </x:c>
      <x:c r="F65" s="23" t="s">
        <x:v>355</x:v>
      </x:c>
      <x:c r="G65" s="23" t="s">
        <x:v>419</x:v>
      </x:c>
      <x:c r="H65" s="23" t="s">
        <x:v>357</x:v>
      </x:c>
      <x:c r="I65" s="23" t="s">
        <x:v>358</x:v>
      </x:c>
      <x:c r="J65" s="23"/>
      <x:c r="K65" s="23" t="s">
        <x:v>359</x:v>
      </x:c>
      <x:c r="L65" s="23" t="s">
        <x:v>473</x:v>
      </x:c>
    </x:row>
    <x:row r="66" ht="27.600000381469727">
      <x:c r="A66" s="23" t="s">
        <x:v>497</x:v>
      </x:c>
      <x:c r="B66" s="23" t="s">
        <x:v>498</x:v>
      </x:c>
      <x:c r="C66" s="23" t="s">
        <x:v>472</x:v>
      </x:c>
      <x:c r="D66" s="23">
        <x:v>18000</x:v>
      </x:c>
      <x:c r="E66" s="23" t="s">
        <x:v>354</x:v>
      </x:c>
      <x:c r="F66" s="23" t="s">
        <x:v>355</x:v>
      </x:c>
      <x:c r="G66" s="23" t="s">
        <x:v>419</x:v>
      </x:c>
      <x:c r="H66" s="23" t="s">
        <x:v>357</x:v>
      </x:c>
      <x:c r="I66" s="23" t="s">
        <x:v>358</x:v>
      </x:c>
      <x:c r="J66" s="23"/>
      <x:c r="K66" s="23" t="s">
        <x:v>403</x:v>
      </x:c>
      <x:c r="L66" s="23" t="s">
        <x:v>473</x:v>
      </x:c>
    </x:row>
    <x:row r="67" ht="27.600000381469727">
      <x:c r="A67" s="23" t="s">
        <x:v>499</x:v>
      </x:c>
      <x:c r="B67" s="23" t="s">
        <x:v>500</x:v>
      </x:c>
      <x:c r="C67" s="23" t="s">
        <x:v>472</x:v>
      </x:c>
      <x:c r="D67" s="23">
        <x:v>18000</x:v>
      </x:c>
      <x:c r="E67" s="23" t="s">
        <x:v>354</x:v>
      </x:c>
      <x:c r="F67" s="23" t="s">
        <x:v>355</x:v>
      </x:c>
      <x:c r="G67" s="23" t="s">
        <x:v>419</x:v>
      </x:c>
      <x:c r="H67" s="23" t="s">
        <x:v>357</x:v>
      </x:c>
      <x:c r="I67" s="23" t="s">
        <x:v>358</x:v>
      </x:c>
      <x:c r="J67" s="23"/>
      <x:c r="K67" s="23" t="s">
        <x:v>359</x:v>
      </x:c>
      <x:c r="L67" s="23" t="s">
        <x:v>473</x:v>
      </x:c>
    </x:row>
    <x:row r="68" ht="27.600000381469727">
      <x:c r="A68" s="23" t="s">
        <x:v>501</x:v>
      </x:c>
      <x:c r="B68" s="23" t="s">
        <x:v>502</x:v>
      </x:c>
      <x:c r="C68" s="23" t="s">
        <x:v>472</x:v>
      </x:c>
      <x:c r="D68" s="23">
        <x:v>19000</x:v>
      </x:c>
      <x:c r="E68" s="23" t="s">
        <x:v>354</x:v>
      </x:c>
      <x:c r="F68" s="23" t="s">
        <x:v>355</x:v>
      </x:c>
      <x:c r="G68" s="23" t="s">
        <x:v>376</x:v>
      </x:c>
      <x:c r="H68" s="23" t="s">
        <x:v>357</x:v>
      </x:c>
      <x:c r="I68" s="23" t="s">
        <x:v>358</x:v>
      </x:c>
      <x:c r="J68" s="23"/>
      <x:c r="K68" s="23" t="s">
        <x:v>403</x:v>
      </x:c>
      <x:c r="L68" s="23" t="s">
        <x:v>473</x:v>
      </x:c>
    </x:row>
    <x:row r="69" ht="27.600000381469727">
      <x:c r="A69" s="23" t="s">
        <x:v>503</x:v>
      </x:c>
      <x:c r="B69" s="23" t="s">
        <x:v>504</x:v>
      </x:c>
      <x:c r="C69" s="23" t="s">
        <x:v>472</x:v>
      </x:c>
      <x:c r="D69" s="23">
        <x:v>19000</x:v>
      </x:c>
      <x:c r="E69" s="23" t="s">
        <x:v>354</x:v>
      </x:c>
      <x:c r="F69" s="23" t="s">
        <x:v>355</x:v>
      </x:c>
      <x:c r="G69" s="23" t="s">
        <x:v>376</x:v>
      </x:c>
      <x:c r="H69" s="23" t="s">
        <x:v>357</x:v>
      </x:c>
      <x:c r="I69" s="23" t="s">
        <x:v>358</x:v>
      </x:c>
      <x:c r="J69" s="23"/>
      <x:c r="K69" s="23" t="s">
        <x:v>359</x:v>
      </x:c>
      <x:c r="L69" s="23" t="s">
        <x:v>473</x:v>
      </x:c>
    </x:row>
    <x:row r="70" ht="27.600000381469727">
      <x:c r="A70" s="23" t="s">
        <x:v>505</x:v>
      </x:c>
      <x:c r="B70" s="23" t="s">
        <x:v>506</x:v>
      </x:c>
      <x:c r="C70" s="23" t="s">
        <x:v>472</x:v>
      </x:c>
      <x:c r="D70" s="23">
        <x:v>20000</x:v>
      </x:c>
      <x:c r="E70" s="23" t="s">
        <x:v>354</x:v>
      </x:c>
      <x:c r="F70" s="23" t="s">
        <x:v>355</x:v>
      </x:c>
      <x:c r="G70" s="23" t="s">
        <x:v>419</x:v>
      </x:c>
      <x:c r="H70" s="23" t="s">
        <x:v>357</x:v>
      </x:c>
      <x:c r="I70" s="23" t="s">
        <x:v>358</x:v>
      </x:c>
      <x:c r="J70" s="23"/>
      <x:c r="K70" s="23" t="s">
        <x:v>403</x:v>
      </x:c>
      <x:c r="L70" s="23" t="s">
        <x:v>473</x:v>
      </x:c>
    </x:row>
    <x:row r="71" ht="27.600000381469727">
      <x:c r="A71" s="23" t="s">
        <x:v>507</x:v>
      </x:c>
      <x:c r="B71" s="23" t="s">
        <x:v>508</x:v>
      </x:c>
      <x:c r="C71" s="23" t="s">
        <x:v>472</x:v>
      </x:c>
      <x:c r="D71" s="23">
        <x:v>20000</x:v>
      </x:c>
      <x:c r="E71" s="23" t="s">
        <x:v>354</x:v>
      </x:c>
      <x:c r="F71" s="23" t="s">
        <x:v>355</x:v>
      </x:c>
      <x:c r="G71" s="23" t="s">
        <x:v>419</x:v>
      </x:c>
      <x:c r="H71" s="23" t="s">
        <x:v>357</x:v>
      </x:c>
      <x:c r="I71" s="23" t="s">
        <x:v>358</x:v>
      </x:c>
      <x:c r="J71" s="23"/>
      <x:c r="K71" s="23" t="s">
        <x:v>359</x:v>
      </x:c>
      <x:c r="L71" s="23" t="s">
        <x:v>473</x:v>
      </x:c>
    </x:row>
    <x:row r="72" ht="27.600000381469727">
      <x:c r="A72" s="23" t="s">
        <x:v>509</x:v>
      </x:c>
      <x:c r="B72" s="23" t="s">
        <x:v>510</x:v>
      </x:c>
      <x:c r="C72" s="23" t="s">
        <x:v>472</x:v>
      </x:c>
      <x:c r="D72" s="23">
        <x:v>22000</x:v>
      </x:c>
      <x:c r="E72" s="23" t="s">
        <x:v>354</x:v>
      </x:c>
      <x:c r="F72" s="23" t="s">
        <x:v>355</x:v>
      </x:c>
      <x:c r="G72" s="23" t="s">
        <x:v>376</x:v>
      </x:c>
      <x:c r="H72" s="23" t="s">
        <x:v>357</x:v>
      </x:c>
      <x:c r="I72" s="23" t="s">
        <x:v>358</x:v>
      </x:c>
      <x:c r="J72" s="23"/>
      <x:c r="K72" s="23" t="s">
        <x:v>403</x:v>
      </x:c>
      <x:c r="L72" s="23" t="s">
        <x:v>473</x:v>
      </x:c>
    </x:row>
    <x:row r="73" ht="27.600000381469727">
      <x:c r="A73" s="23" t="s">
        <x:v>511</x:v>
      </x:c>
      <x:c r="B73" s="23" t="s">
        <x:v>512</x:v>
      </x:c>
      <x:c r="C73" s="23" t="s">
        <x:v>472</x:v>
      </x:c>
      <x:c r="D73" s="23">
        <x:v>22000</x:v>
      </x:c>
      <x:c r="E73" s="23" t="s">
        <x:v>354</x:v>
      </x:c>
      <x:c r="F73" s="23" t="s">
        <x:v>355</x:v>
      </x:c>
      <x:c r="G73" s="23" t="s">
        <x:v>376</x:v>
      </x:c>
      <x:c r="H73" s="23" t="s">
        <x:v>357</x:v>
      </x:c>
      <x:c r="I73" s="23" t="s">
        <x:v>358</x:v>
      </x:c>
      <x:c r="J73" s="23"/>
      <x:c r="K73" s="23" t="s">
        <x:v>359</x:v>
      </x:c>
      <x:c r="L73" s="23" t="s">
        <x:v>473</x:v>
      </x:c>
    </x:row>
    <x:row r="74" ht="27.600000381469727">
      <x:c r="A74" s="23" t="s">
        <x:v>513</x:v>
      </x:c>
      <x:c r="B74" s="23" t="s">
        <x:v>514</x:v>
      </x:c>
      <x:c r="C74" s="23" t="s">
        <x:v>472</x:v>
      </x:c>
      <x:c r="D74" s="23">
        <x:v>25000</x:v>
      </x:c>
      <x:c r="E74" s="23" t="s">
        <x:v>354</x:v>
      </x:c>
      <x:c r="F74" s="23" t="s">
        <x:v>355</x:v>
      </x:c>
      <x:c r="G74" s="23" t="s">
        <x:v>419</x:v>
      </x:c>
      <x:c r="H74" s="23" t="s">
        <x:v>357</x:v>
      </x:c>
      <x:c r="I74" s="23" t="s">
        <x:v>358</x:v>
      </x:c>
      <x:c r="J74" s="23"/>
      <x:c r="K74" s="23" t="s">
        <x:v>403</x:v>
      </x:c>
      <x:c r="L74" s="23" t="s">
        <x:v>473</x:v>
      </x:c>
    </x:row>
    <x:row r="75" ht="27.600000381469727">
      <x:c r="A75" s="23" t="s">
        <x:v>515</x:v>
      </x:c>
      <x:c r="B75" s="23" t="s">
        <x:v>516</x:v>
      </x:c>
      <x:c r="C75" s="23" t="s">
        <x:v>472</x:v>
      </x:c>
      <x:c r="D75" s="23">
        <x:v>25000</x:v>
      </x:c>
      <x:c r="E75" s="23" t="s">
        <x:v>354</x:v>
      </x:c>
      <x:c r="F75" s="23" t="s">
        <x:v>355</x:v>
      </x:c>
      <x:c r="G75" s="23" t="s">
        <x:v>419</x:v>
      </x:c>
      <x:c r="H75" s="23" t="s">
        <x:v>357</x:v>
      </x:c>
      <x:c r="I75" s="23" t="s">
        <x:v>358</x:v>
      </x:c>
      <x:c r="J75" s="23"/>
      <x:c r="K75" s="23" t="s">
        <x:v>359</x:v>
      </x:c>
      <x:c r="L75" s="23" t="s">
        <x:v>473</x:v>
      </x:c>
    </x:row>
    <x:row r="76" ht="27.600000381469727">
      <x:c r="A76" s="23" t="s">
        <x:v>517</x:v>
      </x:c>
      <x:c r="B76" s="23" t="s">
        <x:v>518</x:v>
      </x:c>
      <x:c r="C76" s="23" t="s">
        <x:v>472</x:v>
      </x:c>
      <x:c r="D76" s="23">
        <x:v>25000</x:v>
      </x:c>
      <x:c r="E76" s="23" t="s">
        <x:v>354</x:v>
      </x:c>
      <x:c r="F76" s="23" t="s">
        <x:v>355</x:v>
      </x:c>
      <x:c r="G76" s="23" t="s">
        <x:v>419</x:v>
      </x:c>
      <x:c r="H76" s="23" t="s">
        <x:v>357</x:v>
      </x:c>
      <x:c r="I76" s="23" t="s">
        <x:v>358</x:v>
      </x:c>
      <x:c r="J76" s="23"/>
      <x:c r="K76" s="23" t="s">
        <x:v>403</x:v>
      </x:c>
      <x:c r="L76" s="23" t="s">
        <x:v>473</x:v>
      </x:c>
    </x:row>
    <x:row r="77" ht="27.600000381469727">
      <x:c r="A77" s="23" t="s">
        <x:v>519</x:v>
      </x:c>
      <x:c r="B77" s="23" t="s">
        <x:v>520</x:v>
      </x:c>
      <x:c r="C77" s="23" t="s">
        <x:v>472</x:v>
      </x:c>
      <x:c r="D77" s="23">
        <x:v>25000</x:v>
      </x:c>
      <x:c r="E77" s="23" t="s">
        <x:v>354</x:v>
      </x:c>
      <x:c r="F77" s="23" t="s">
        <x:v>355</x:v>
      </x:c>
      <x:c r="G77" s="23" t="s">
        <x:v>419</x:v>
      </x:c>
      <x:c r="H77" s="23" t="s">
        <x:v>357</x:v>
      </x:c>
      <x:c r="I77" s="23" t="s">
        <x:v>358</x:v>
      </x:c>
      <x:c r="J77" s="23"/>
      <x:c r="K77" s="23" t="s">
        <x:v>359</x:v>
      </x:c>
      <x:c r="L77" s="23" t="s">
        <x:v>473</x:v>
      </x:c>
    </x:row>
    <x:row r="78" ht="27.600000381469727">
      <x:c r="A78" s="23" t="s">
        <x:v>521</x:v>
      </x:c>
      <x:c r="B78" s="23" t="s">
        <x:v>522</x:v>
      </x:c>
      <x:c r="C78" s="23" t="s">
        <x:v>472</x:v>
      </x:c>
      <x:c r="D78" s="23">
        <x:v>28000</x:v>
      </x:c>
      <x:c r="E78" s="23" t="s">
        <x:v>354</x:v>
      </x:c>
      <x:c r="F78" s="23" t="s">
        <x:v>355</x:v>
      </x:c>
      <x:c r="G78" s="23" t="s">
        <x:v>376</x:v>
      </x:c>
      <x:c r="H78" s="23" t="s">
        <x:v>357</x:v>
      </x:c>
      <x:c r="I78" s="23" t="s">
        <x:v>358</x:v>
      </x:c>
      <x:c r="J78" s="23" t="s">
        <x:v>358</x:v>
      </x:c>
      <x:c r="K78" s="23" t="s">
        <x:v>403</x:v>
      </x:c>
      <x:c r="L78" s="23" t="s">
        <x:v>473</x:v>
      </x:c>
    </x:row>
    <x:row r="79" ht="27.600000381469727">
      <x:c r="A79" s="23" t="s">
        <x:v>523</x:v>
      </x:c>
      <x:c r="B79" s="23" t="s">
        <x:v>524</x:v>
      </x:c>
      <x:c r="C79" s="23" t="s">
        <x:v>472</x:v>
      </x:c>
      <x:c r="D79" s="23">
        <x:v>28000</x:v>
      </x:c>
      <x:c r="E79" s="23" t="s">
        <x:v>354</x:v>
      </x:c>
      <x:c r="F79" s="23" t="s">
        <x:v>355</x:v>
      </x:c>
      <x:c r="G79" s="23" t="s">
        <x:v>376</x:v>
      </x:c>
      <x:c r="H79" s="23" t="s">
        <x:v>357</x:v>
      </x:c>
      <x:c r="I79" s="23" t="s">
        <x:v>358</x:v>
      </x:c>
      <x:c r="J79" s="23" t="s">
        <x:v>358</x:v>
      </x:c>
      <x:c r="K79" s="23" t="s">
        <x:v>359</x:v>
      </x:c>
      <x:c r="L79" s="23" t="s">
        <x:v>473</x:v>
      </x:c>
    </x:row>
    <x:row r="80" ht="27.600000381469727">
      <x:c r="A80" s="23" t="s">
        <x:v>525</x:v>
      </x:c>
      <x:c r="B80" s="23" t="s">
        <x:v>526</x:v>
      </x:c>
      <x:c r="C80" s="23" t="s">
        <x:v>472</x:v>
      </x:c>
      <x:c r="D80" s="23">
        <x:v>28000</x:v>
      </x:c>
      <x:c r="E80" s="23" t="s">
        <x:v>354</x:v>
      </x:c>
      <x:c r="F80" s="23" t="s">
        <x:v>355</x:v>
      </x:c>
      <x:c r="G80" s="23" t="s">
        <x:v>419</x:v>
      </x:c>
      <x:c r="H80" s="23" t="s">
        <x:v>357</x:v>
      </x:c>
      <x:c r="I80" s="23" t="s">
        <x:v>358</x:v>
      </x:c>
      <x:c r="J80" s="23" t="s">
        <x:v>358</x:v>
      </x:c>
      <x:c r="K80" s="23" t="s">
        <x:v>403</x:v>
      </x:c>
      <x:c r="L80" s="23" t="s">
        <x:v>473</x:v>
      </x:c>
    </x:row>
    <x:row r="81" ht="27.600000381469727">
      <x:c r="A81" s="23" t="s">
        <x:v>527</x:v>
      </x:c>
      <x:c r="B81" s="23" t="s">
        <x:v>528</x:v>
      </x:c>
      <x:c r="C81" s="23" t="s">
        <x:v>472</x:v>
      </x:c>
      <x:c r="D81" s="23">
        <x:v>28000</x:v>
      </x:c>
      <x:c r="E81" s="23" t="s">
        <x:v>354</x:v>
      </x:c>
      <x:c r="F81" s="23" t="s">
        <x:v>355</x:v>
      </x:c>
      <x:c r="G81" s="23" t="s">
        <x:v>419</x:v>
      </x:c>
      <x:c r="H81" s="23" t="s">
        <x:v>357</x:v>
      </x:c>
      <x:c r="I81" s="23" t="s">
        <x:v>358</x:v>
      </x:c>
      <x:c r="J81" s="23" t="s">
        <x:v>358</x:v>
      </x:c>
      <x:c r="K81" s="23" t="s">
        <x:v>359</x:v>
      </x:c>
      <x:c r="L81" s="23" t="s">
        <x:v>473</x:v>
      </x:c>
    </x:row>
    <x:row r="82" ht="41.400001525878906">
      <x:c r="A82" s="23" t="s">
        <x:v>529</x:v>
      </x:c>
      <x:c r="B82" s="23" t="s">
        <x:v>530</x:v>
      </x:c>
      <x:c r="C82" s="23" t="s">
        <x:v>472</x:v>
      </x:c>
      <x:c r="D82" s="23">
        <x:v>28000</x:v>
      </x:c>
      <x:c r="E82" s="23" t="s">
        <x:v>354</x:v>
      </x:c>
      <x:c r="F82" s="23" t="s">
        <x:v>355</x:v>
      </x:c>
      <x:c r="G82" s="23" t="s">
        <x:v>419</x:v>
      </x:c>
      <x:c r="H82" s="23" t="s">
        <x:v>357</x:v>
      </x:c>
      <x:c r="I82" s="23" t="s">
        <x:v>358</x:v>
      </x:c>
      <x:c r="J82" s="23" t="s">
        <x:v>358</x:v>
      </x:c>
      <x:c r="K82" s="23" t="s">
        <x:v>403</x:v>
      </x:c>
      <x:c r="L82" s="23" t="s">
        <x:v>473</x:v>
      </x:c>
    </x:row>
    <x:row r="83" ht="27.600000381469727">
      <x:c r="A83" s="23" t="s">
        <x:v>531</x:v>
      </x:c>
      <x:c r="B83" s="23" t="s">
        <x:v>532</x:v>
      </x:c>
      <x:c r="C83" s="23" t="s">
        <x:v>472</x:v>
      </x:c>
      <x:c r="D83" s="23">
        <x:v>28000</x:v>
      </x:c>
      <x:c r="E83" s="23" t="s">
        <x:v>354</x:v>
      </x:c>
      <x:c r="F83" s="23" t="s">
        <x:v>355</x:v>
      </x:c>
      <x:c r="G83" s="23" t="s">
        <x:v>419</x:v>
      </x:c>
      <x:c r="H83" s="23" t="s">
        <x:v>357</x:v>
      </x:c>
      <x:c r="I83" s="23" t="s">
        <x:v>358</x:v>
      </x:c>
      <x:c r="J83" s="23" t="s">
        <x:v>358</x:v>
      </x:c>
      <x:c r="K83" s="23" t="s">
        <x:v>403</x:v>
      </x:c>
      <x:c r="L83" s="23" t="s">
        <x:v>473</x:v>
      </x:c>
    </x:row>
    <x:row r="84" ht="27.600000381469727">
      <x:c r="A84" s="23" t="s">
        <x:v>533</x:v>
      </x:c>
      <x:c r="B84" s="23" t="s">
        <x:v>534</x:v>
      </x:c>
      <x:c r="C84" s="23" t="s">
        <x:v>472</x:v>
      </x:c>
      <x:c r="D84" s="23">
        <x:v>28000</x:v>
      </x:c>
      <x:c r="E84" s="23" t="s">
        <x:v>354</x:v>
      </x:c>
      <x:c r="F84" s="23" t="s">
        <x:v>355</x:v>
      </x:c>
      <x:c r="G84" s="23" t="s">
        <x:v>419</x:v>
      </x:c>
      <x:c r="H84" s="23" t="s">
        <x:v>357</x:v>
      </x:c>
      <x:c r="I84" s="23" t="s">
        <x:v>358</x:v>
      </x:c>
      <x:c r="J84" s="23" t="s">
        <x:v>358</x:v>
      </x:c>
      <x:c r="K84" s="23" t="s">
        <x:v>359</x:v>
      </x:c>
      <x:c r="L84" s="23" t="s">
        <x:v>473</x:v>
      </x:c>
    </x:row>
    <x:row r="85" ht="27.600000381469727">
      <x:c r="A85" s="23" t="s">
        <x:v>535</x:v>
      </x:c>
      <x:c r="B85" s="23" t="s">
        <x:v>536</x:v>
      </x:c>
      <x:c r="C85" s="23" t="s">
        <x:v>472</x:v>
      </x:c>
      <x:c r="D85" s="23">
        <x:v>28000</x:v>
      </x:c>
      <x:c r="E85" s="23" t="s">
        <x:v>354</x:v>
      </x:c>
      <x:c r="F85" s="23" t="s">
        <x:v>355</x:v>
      </x:c>
      <x:c r="G85" s="23" t="s">
        <x:v>419</x:v>
      </x:c>
      <x:c r="H85" s="23" t="s">
        <x:v>357</x:v>
      </x:c>
      <x:c r="I85" s="23" t="s">
        <x:v>358</x:v>
      </x:c>
      <x:c r="J85" s="23" t="s">
        <x:v>358</x:v>
      </x:c>
      <x:c r="K85" s="23" t="s">
        <x:v>403</x:v>
      </x:c>
      <x:c r="L85" s="23" t="s">
        <x:v>473</x:v>
      </x:c>
    </x:row>
    <x:row r="86" ht="27.600000381469727">
      <x:c r="A86" s="23" t="s">
        <x:v>537</x:v>
      </x:c>
      <x:c r="B86" s="23" t="s">
        <x:v>538</x:v>
      </x:c>
      <x:c r="C86" s="23" t="s">
        <x:v>472</x:v>
      </x:c>
      <x:c r="D86" s="23">
        <x:v>28000</x:v>
      </x:c>
      <x:c r="E86" s="23" t="s">
        <x:v>354</x:v>
      </x:c>
      <x:c r="F86" s="23" t="s">
        <x:v>355</x:v>
      </x:c>
      <x:c r="G86" s="23" t="s">
        <x:v>419</x:v>
      </x:c>
      <x:c r="H86" s="23" t="s">
        <x:v>357</x:v>
      </x:c>
      <x:c r="I86" s="23" t="s">
        <x:v>358</x:v>
      </x:c>
      <x:c r="J86" s="23" t="s">
        <x:v>358</x:v>
      </x:c>
      <x:c r="K86" s="23" t="s">
        <x:v>359</x:v>
      </x:c>
      <x:c r="L86" s="23" t="s">
        <x:v>473</x:v>
      </x:c>
    </x:row>
    <x:row r="87" ht="27.600000381469727">
      <x:c r="A87" s="23" t="s">
        <x:v>539</x:v>
      </x:c>
      <x:c r="B87" s="23" t="s">
        <x:v>540</x:v>
      </x:c>
      <x:c r="C87" s="23" t="s">
        <x:v>472</x:v>
      </x:c>
      <x:c r="D87" s="23">
        <x:v>28000</x:v>
      </x:c>
      <x:c r="E87" s="23" t="s">
        <x:v>354</x:v>
      </x:c>
      <x:c r="F87" s="23" t="s">
        <x:v>355</x:v>
      </x:c>
      <x:c r="G87" s="23" t="s">
        <x:v>419</x:v>
      </x:c>
      <x:c r="H87" s="23" t="s">
        <x:v>357</x:v>
      </x:c>
      <x:c r="I87" s="23" t="s">
        <x:v>358</x:v>
      </x:c>
      <x:c r="J87" s="23" t="s">
        <x:v>358</x:v>
      </x:c>
      <x:c r="K87" s="23" t="s">
        <x:v>403</x:v>
      </x:c>
      <x:c r="L87" s="23" t="s">
        <x:v>473</x:v>
      </x:c>
    </x:row>
    <x:row r="88" ht="27.600000381469727">
      <x:c r="A88" s="23" t="s">
        <x:v>541</x:v>
      </x:c>
      <x:c r="B88" s="23" t="s">
        <x:v>542</x:v>
      </x:c>
      <x:c r="C88" s="23" t="s">
        <x:v>472</x:v>
      </x:c>
      <x:c r="D88" s="23">
        <x:v>28000</x:v>
      </x:c>
      <x:c r="E88" s="23" t="s">
        <x:v>354</x:v>
      </x:c>
      <x:c r="F88" s="23" t="s">
        <x:v>355</x:v>
      </x:c>
      <x:c r="G88" s="23" t="s">
        <x:v>419</x:v>
      </x:c>
      <x:c r="H88" s="23" t="s">
        <x:v>357</x:v>
      </x:c>
      <x:c r="I88" s="23" t="s">
        <x:v>358</x:v>
      </x:c>
      <x:c r="J88" s="23" t="s">
        <x:v>358</x:v>
      </x:c>
      <x:c r="K88" s="23" t="s">
        <x:v>359</x:v>
      </x:c>
      <x:c r="L88" s="23" t="s">
        <x:v>473</x:v>
      </x:c>
    </x:row>
    <x:row r="89" ht="27.600000381469727">
      <x:c r="A89" s="23" t="s">
        <x:v>543</x:v>
      </x:c>
      <x:c r="B89" s="23" t="s">
        <x:v>544</x:v>
      </x:c>
      <x:c r="C89" s="23" t="s">
        <x:v>472</x:v>
      </x:c>
      <x:c r="D89" s="23">
        <x:v>28000</x:v>
      </x:c>
      <x:c r="E89" s="23" t="s">
        <x:v>354</x:v>
      </x:c>
      <x:c r="F89" s="23" t="s">
        <x:v>355</x:v>
      </x:c>
      <x:c r="G89" s="23" t="s">
        <x:v>419</x:v>
      </x:c>
      <x:c r="H89" s="23" t="s">
        <x:v>357</x:v>
      </x:c>
      <x:c r="I89" s="23" t="s">
        <x:v>358</x:v>
      </x:c>
      <x:c r="J89" s="23" t="s">
        <x:v>358</x:v>
      </x:c>
      <x:c r="K89" s="23" t="s">
        <x:v>359</x:v>
      </x:c>
      <x:c r="L89" s="23" t="s">
        <x:v>473</x:v>
      </x:c>
    </x:row>
    <x:row r="90" ht="27.600000381469727">
      <x:c r="A90" s="23" t="s">
        <x:v>545</x:v>
      </x:c>
      <x:c r="B90" s="23" t="s">
        <x:v>546</x:v>
      </x:c>
      <x:c r="C90" s="23" t="s">
        <x:v>472</x:v>
      </x:c>
      <x:c r="D90" s="23">
        <x:v>32000</x:v>
      </x:c>
      <x:c r="E90" s="23" t="s">
        <x:v>354</x:v>
      </x:c>
      <x:c r="F90" s="23" t="s">
        <x:v>355</x:v>
      </x:c>
      <x:c r="G90" s="23" t="s">
        <x:v>419</x:v>
      </x:c>
      <x:c r="H90" s="23" t="s">
        <x:v>357</x:v>
      </x:c>
      <x:c r="I90" s="23" t="s">
        <x:v>358</x:v>
      </x:c>
      <x:c r="J90" s="23" t="s">
        <x:v>358</x:v>
      </x:c>
      <x:c r="K90" s="23" t="s">
        <x:v>403</x:v>
      </x:c>
      <x:c r="L90" s="23" t="s">
        <x:v>473</x:v>
      </x:c>
    </x:row>
    <x:row r="91" ht="27.600000381469727">
      <x:c r="A91" s="23" t="s">
        <x:v>547</x:v>
      </x:c>
      <x:c r="B91" s="23" t="s">
        <x:v>548</x:v>
      </x:c>
      <x:c r="C91" s="23" t="s">
        <x:v>472</x:v>
      </x:c>
      <x:c r="D91" s="23">
        <x:v>32000</x:v>
      </x:c>
      <x:c r="E91" s="23" t="s">
        <x:v>354</x:v>
      </x:c>
      <x:c r="F91" s="23" t="s">
        <x:v>355</x:v>
      </x:c>
      <x:c r="G91" s="23" t="s">
        <x:v>419</x:v>
      </x:c>
      <x:c r="H91" s="23" t="s">
        <x:v>357</x:v>
      </x:c>
      <x:c r="I91" s="23" t="s">
        <x:v>358</x:v>
      </x:c>
      <x:c r="J91" s="23" t="s">
        <x:v>358</x:v>
      </x:c>
      <x:c r="K91" s="23" t="s">
        <x:v>359</x:v>
      </x:c>
      <x:c r="L91" s="23" t="s">
        <x:v>473</x:v>
      </x:c>
    </x:row>
    <x:row r="92" ht="27.600000381469727">
      <x:c r="A92" s="23" t="s">
        <x:v>549</x:v>
      </x:c>
      <x:c r="B92" s="23" t="s">
        <x:v>550</x:v>
      </x:c>
      <x:c r="C92" s="23" t="s">
        <x:v>472</x:v>
      </x:c>
      <x:c r="D92" s="23">
        <x:v>34000</x:v>
      </x:c>
      <x:c r="E92" s="23" t="s">
        <x:v>354</x:v>
      </x:c>
      <x:c r="F92" s="23" t="s">
        <x:v>355</x:v>
      </x:c>
      <x:c r="G92" s="23" t="s">
        <x:v>376</x:v>
      </x:c>
      <x:c r="H92" s="23" t="s">
        <x:v>367</x:v>
      </x:c>
      <x:c r="I92" s="23" t="s">
        <x:v>358</x:v>
      </x:c>
      <x:c r="J92" s="23" t="s">
        <x:v>358</x:v>
      </x:c>
      <x:c r="K92" s="23" t="s">
        <x:v>403</x:v>
      </x:c>
      <x:c r="L92" s="23" t="s">
        <x:v>473</x:v>
      </x:c>
    </x:row>
    <x:row r="93" ht="27.600000381469727">
      <x:c r="A93" s="23" t="s">
        <x:v>551</x:v>
      </x:c>
      <x:c r="B93" s="23" t="s">
        <x:v>552</x:v>
      </x:c>
      <x:c r="C93" s="23" t="s">
        <x:v>472</x:v>
      </x:c>
      <x:c r="D93" s="23">
        <x:v>34000</x:v>
      </x:c>
      <x:c r="E93" s="23" t="s">
        <x:v>354</x:v>
      </x:c>
      <x:c r="F93" s="23" t="s">
        <x:v>355</x:v>
      </x:c>
      <x:c r="G93" s="23" t="s">
        <x:v>376</x:v>
      </x:c>
      <x:c r="H93" s="23" t="s">
        <x:v>357</x:v>
      </x:c>
      <x:c r="I93" s="23" t="s">
        <x:v>358</x:v>
      </x:c>
      <x:c r="J93" s="23" t="s">
        <x:v>358</x:v>
      </x:c>
      <x:c r="K93" s="23" t="s">
        <x:v>359</x:v>
      </x:c>
      <x:c r="L93" s="23" t="s">
        <x:v>473</x:v>
      </x:c>
    </x:row>
    <x:row r="94" ht="27.600000381469727">
      <x:c r="A94" s="23" t="s">
        <x:v>553</x:v>
      </x:c>
      <x:c r="B94" s="23" t="s">
        <x:v>554</x:v>
      </x:c>
      <x:c r="C94" s="23" t="s">
        <x:v>472</x:v>
      </x:c>
      <x:c r="D94" s="23">
        <x:v>35000</x:v>
      </x:c>
      <x:c r="E94" s="23" t="s">
        <x:v>354</x:v>
      </x:c>
      <x:c r="F94" s="23" t="s">
        <x:v>355</x:v>
      </x:c>
      <x:c r="G94" s="23" t="s">
        <x:v>419</x:v>
      </x:c>
      <x:c r="H94" s="23" t="s">
        <x:v>367</x:v>
      </x:c>
      <x:c r="I94" s="23" t="s">
        <x:v>358</x:v>
      </x:c>
      <x:c r="J94" s="23" t="s">
        <x:v>358</x:v>
      </x:c>
      <x:c r="K94" s="23" t="s">
        <x:v>403</x:v>
      </x:c>
      <x:c r="L94" s="23" t="s">
        <x:v>473</x:v>
      </x:c>
    </x:row>
    <x:row r="95" ht="27.600000381469727">
      <x:c r="A95" s="23" t="s">
        <x:v>555</x:v>
      </x:c>
      <x:c r="B95" s="23" t="s">
        <x:v>556</x:v>
      </x:c>
      <x:c r="C95" s="23" t="s">
        <x:v>472</x:v>
      </x:c>
      <x:c r="D95" s="23">
        <x:v>35000</x:v>
      </x:c>
      <x:c r="E95" s="23" t="s">
        <x:v>354</x:v>
      </x:c>
      <x:c r="F95" s="23" t="s">
        <x:v>355</x:v>
      </x:c>
      <x:c r="G95" s="23" t="s">
        <x:v>419</x:v>
      </x:c>
      <x:c r="H95" s="23" t="s">
        <x:v>367</x:v>
      </x:c>
      <x:c r="I95" s="23" t="s">
        <x:v>358</x:v>
      </x:c>
      <x:c r="J95" s="23" t="s">
        <x:v>358</x:v>
      </x:c>
      <x:c r="K95" s="23" t="s">
        <x:v>359</x:v>
      </x:c>
      <x:c r="L95" s="23" t="s">
        <x:v>473</x:v>
      </x:c>
    </x:row>
    <x:row r="96" ht="41.400001525878906">
      <x:c r="A96" s="23" t="s">
        <x:v>557</x:v>
      </x:c>
      <x:c r="B96" s="23" t="s">
        <x:v>558</x:v>
      </x:c>
      <x:c r="C96" s="23" t="s">
        <x:v>472</x:v>
      </x:c>
      <x:c r="D96" s="23">
        <x:v>35000</x:v>
      </x:c>
      <x:c r="E96" s="23" t="s">
        <x:v>354</x:v>
      </x:c>
      <x:c r="F96" s="23" t="s">
        <x:v>355</x:v>
      </x:c>
      <x:c r="G96" s="23" t="s">
        <x:v>419</x:v>
      </x:c>
      <x:c r="H96" s="23" t="s">
        <x:v>367</x:v>
      </x:c>
      <x:c r="I96" s="23" t="s">
        <x:v>358</x:v>
      </x:c>
      <x:c r="J96" s="23" t="s">
        <x:v>358</x:v>
      </x:c>
      <x:c r="K96" s="23" t="s">
        <x:v>403</x:v>
      </x:c>
      <x:c r="L96" s="23" t="s">
        <x:v>473</x:v>
      </x:c>
    </x:row>
    <x:row r="97" ht="41.400001525878906">
      <x:c r="A97" s="23" t="s">
        <x:v>559</x:v>
      </x:c>
      <x:c r="B97" s="23" t="s">
        <x:v>560</x:v>
      </x:c>
      <x:c r="C97" s="23" t="s">
        <x:v>472</x:v>
      </x:c>
      <x:c r="D97" s="23">
        <x:v>35000</x:v>
      </x:c>
      <x:c r="E97" s="23" t="s">
        <x:v>354</x:v>
      </x:c>
      <x:c r="F97" s="23" t="s">
        <x:v>355</x:v>
      </x:c>
      <x:c r="G97" s="23" t="s">
        <x:v>419</x:v>
      </x:c>
      <x:c r="H97" s="23" t="s">
        <x:v>367</x:v>
      </x:c>
      <x:c r="I97" s="23" t="s">
        <x:v>358</x:v>
      </x:c>
      <x:c r="J97" s="23" t="s">
        <x:v>358</x:v>
      </x:c>
      <x:c r="K97" s="23" t="s">
        <x:v>403</x:v>
      </x:c>
      <x:c r="L97" s="23" t="s">
        <x:v>473</x:v>
      </x:c>
    </x:row>
    <x:row r="98" ht="41.400001525878906">
      <x:c r="A98" s="23" t="s">
        <x:v>561</x:v>
      </x:c>
      <x:c r="B98" s="23" t="s">
        <x:v>562</x:v>
      </x:c>
      <x:c r="C98" s="23" t="s">
        <x:v>472</x:v>
      </x:c>
      <x:c r="D98" s="23">
        <x:v>35000</x:v>
      </x:c>
      <x:c r="E98" s="23" t="s">
        <x:v>354</x:v>
      </x:c>
      <x:c r="F98" s="23" t="s">
        <x:v>355</x:v>
      </x:c>
      <x:c r="G98" s="23" t="s">
        <x:v>419</x:v>
      </x:c>
      <x:c r="H98" s="23" t="s">
        <x:v>367</x:v>
      </x:c>
      <x:c r="I98" s="23" t="s">
        <x:v>358</x:v>
      </x:c>
      <x:c r="J98" s="23" t="s">
        <x:v>358</x:v>
      </x:c>
      <x:c r="K98" s="23" t="s">
        <x:v>359</x:v>
      </x:c>
      <x:c r="L98" s="23" t="s">
        <x:v>473</x:v>
      </x:c>
    </x:row>
    <x:row r="99" ht="27.600000381469727">
      <x:c r="A99" s="23" t="s">
        <x:v>563</x:v>
      </x:c>
      <x:c r="B99" s="23" t="s">
        <x:v>564</x:v>
      </x:c>
      <x:c r="C99" s="23" t="s">
        <x:v>472</x:v>
      </x:c>
      <x:c r="D99" s="23">
        <x:v>35000</x:v>
      </x:c>
      <x:c r="E99" s="23" t="s">
        <x:v>354</x:v>
      </x:c>
      <x:c r="F99" s="23" t="s">
        <x:v>355</x:v>
      </x:c>
      <x:c r="G99" s="23" t="s">
        <x:v>419</x:v>
      </x:c>
      <x:c r="H99" s="23" t="s">
        <x:v>367</x:v>
      </x:c>
      <x:c r="I99" s="23" t="s">
        <x:v>358</x:v>
      </x:c>
      <x:c r="J99" s="23" t="s">
        <x:v>358</x:v>
      </x:c>
      <x:c r="K99" s="23" t="s">
        <x:v>403</x:v>
      </x:c>
      <x:c r="L99" s="23" t="s">
        <x:v>473</x:v>
      </x:c>
    </x:row>
    <x:row r="100" ht="27.600000381469727">
      <x:c r="A100" s="23" t="s">
        <x:v>565</x:v>
      </x:c>
      <x:c r="B100" s="23" t="s">
        <x:v>566</x:v>
      </x:c>
      <x:c r="C100" s="23" t="s">
        <x:v>472</x:v>
      </x:c>
      <x:c r="D100" s="23">
        <x:v>35000</x:v>
      </x:c>
      <x:c r="E100" s="23" t="s">
        <x:v>354</x:v>
      </x:c>
      <x:c r="F100" s="23" t="s">
        <x:v>355</x:v>
      </x:c>
      <x:c r="G100" s="23" t="s">
        <x:v>419</x:v>
      </x:c>
      <x:c r="H100" s="23" t="s">
        <x:v>367</x:v>
      </x:c>
      <x:c r="I100" s="23" t="s">
        <x:v>358</x:v>
      </x:c>
      <x:c r="J100" s="23" t="s">
        <x:v>358</x:v>
      </x:c>
      <x:c r="K100" s="23" t="s">
        <x:v>403</x:v>
      </x:c>
      <x:c r="L100" s="23" t="s">
        <x:v>473</x:v>
      </x:c>
    </x:row>
    <x:row r="101" ht="27.600000381469727">
      <x:c r="A101" s="23" t="s">
        <x:v>567</x:v>
      </x:c>
      <x:c r="B101" s="23" t="s">
        <x:v>568</x:v>
      </x:c>
      <x:c r="C101" s="23" t="s">
        <x:v>472</x:v>
      </x:c>
      <x:c r="D101" s="23">
        <x:v>35000</x:v>
      </x:c>
      <x:c r="E101" s="23" t="s">
        <x:v>354</x:v>
      </x:c>
      <x:c r="F101" s="23" t="s">
        <x:v>355</x:v>
      </x:c>
      <x:c r="G101" s="23" t="s">
        <x:v>419</x:v>
      </x:c>
      <x:c r="H101" s="23" t="s">
        <x:v>367</x:v>
      </x:c>
      <x:c r="I101" s="23" t="s">
        <x:v>358</x:v>
      </x:c>
      <x:c r="J101" s="23" t="s">
        <x:v>358</x:v>
      </x:c>
      <x:c r="K101" s="23" t="s">
        <x:v>359</x:v>
      </x:c>
      <x:c r="L101" s="23" t="s">
        <x:v>473</x:v>
      </x:c>
    </x:row>
    <x:row r="102" ht="27.600000381469727">
      <x:c r="A102" s="23" t="s">
        <x:v>569</x:v>
      </x:c>
      <x:c r="B102" s="23" t="s">
        <x:v>570</x:v>
      </x:c>
      <x:c r="C102" s="23" t="s">
        <x:v>472</x:v>
      </x:c>
      <x:c r="D102" s="23">
        <x:v>35000</x:v>
      </x:c>
      <x:c r="E102" s="23" t="s">
        <x:v>354</x:v>
      </x:c>
      <x:c r="F102" s="23" t="s">
        <x:v>355</x:v>
      </x:c>
      <x:c r="G102" s="23" t="s">
        <x:v>419</x:v>
      </x:c>
      <x:c r="H102" s="23" t="s">
        <x:v>367</x:v>
      </x:c>
      <x:c r="I102" s="23" t="s">
        <x:v>358</x:v>
      </x:c>
      <x:c r="J102" s="23" t="s">
        <x:v>358</x:v>
      </x:c>
      <x:c r="K102" s="23" t="s">
        <x:v>403</x:v>
      </x:c>
      <x:c r="L102" s="23" t="s">
        <x:v>473</x:v>
      </x:c>
    </x:row>
    <x:row r="103" ht="27.600000381469727">
      <x:c r="A103" s="23" t="s">
        <x:v>571</x:v>
      </x:c>
      <x:c r="B103" s="23" t="s">
        <x:v>572</x:v>
      </x:c>
      <x:c r="C103" s="23" t="s">
        <x:v>472</x:v>
      </x:c>
      <x:c r="D103" s="23">
        <x:v>35000</x:v>
      </x:c>
      <x:c r="E103" s="23" t="s">
        <x:v>354</x:v>
      </x:c>
      <x:c r="F103" s="23" t="s">
        <x:v>355</x:v>
      </x:c>
      <x:c r="G103" s="23" t="s">
        <x:v>419</x:v>
      </x:c>
      <x:c r="H103" s="23" t="s">
        <x:v>367</x:v>
      </x:c>
      <x:c r="I103" s="23" t="s">
        <x:v>358</x:v>
      </x:c>
      <x:c r="J103" s="23" t="s">
        <x:v>358</x:v>
      </x:c>
      <x:c r="K103" s="23" t="s">
        <x:v>359</x:v>
      </x:c>
      <x:c r="L103" s="23" t="s">
        <x:v>473</x:v>
      </x:c>
    </x:row>
    <x:row r="104" ht="27.600000381469727">
      <x:c r="A104" s="23" t="s">
        <x:v>573</x:v>
      </x:c>
      <x:c r="B104" s="23" t="s">
        <x:v>574</x:v>
      </x:c>
      <x:c r="C104" s="23" t="s">
        <x:v>472</x:v>
      </x:c>
      <x:c r="D104" s="23">
        <x:v>35000</x:v>
      </x:c>
      <x:c r="E104" s="23" t="s">
        <x:v>354</x:v>
      </x:c>
      <x:c r="F104" s="23" t="s">
        <x:v>355</x:v>
      </x:c>
      <x:c r="G104" s="23" t="s">
        <x:v>419</x:v>
      </x:c>
      <x:c r="H104" s="23" t="s">
        <x:v>367</x:v>
      </x:c>
      <x:c r="I104" s="23" t="s">
        <x:v>358</x:v>
      </x:c>
      <x:c r="J104" s="23" t="s">
        <x:v>358</x:v>
      </x:c>
      <x:c r="K104" s="23" t="s">
        <x:v>359</x:v>
      </x:c>
      <x:c r="L104" s="23" t="s">
        <x:v>473</x:v>
      </x:c>
    </x:row>
    <x:row r="105" ht="27.600000381469727">
      <x:c r="A105" s="23" t="s">
        <x:v>575</x:v>
      </x:c>
      <x:c r="B105" s="23" t="s">
        <x:v>576</x:v>
      </x:c>
      <x:c r="C105" s="23" t="s">
        <x:v>472</x:v>
      </x:c>
      <x:c r="D105" s="23">
        <x:v>37000</x:v>
      </x:c>
      <x:c r="E105" s="23" t="s">
        <x:v>354</x:v>
      </x:c>
      <x:c r="F105" s="23" t="s">
        <x:v>355</x:v>
      </x:c>
      <x:c r="G105" s="23" t="s">
        <x:v>376</x:v>
      </x:c>
      <x:c r="H105" s="23" t="s">
        <x:v>367</x:v>
      </x:c>
      <x:c r="I105" s="23" t="s">
        <x:v>358</x:v>
      </x:c>
      <x:c r="J105" s="23" t="s">
        <x:v>358</x:v>
      </x:c>
      <x:c r="K105" s="23" t="s">
        <x:v>403</x:v>
      </x:c>
      <x:c r="L105" s="23" t="s">
        <x:v>473</x:v>
      </x:c>
    </x:row>
    <x:row r="106" ht="27.600000381469727">
      <x:c r="A106" s="23" t="s">
        <x:v>577</x:v>
      </x:c>
      <x:c r="B106" s="23" t="s">
        <x:v>578</x:v>
      </x:c>
      <x:c r="C106" s="23" t="s">
        <x:v>472</x:v>
      </x:c>
      <x:c r="D106" s="23">
        <x:v>37000</x:v>
      </x:c>
      <x:c r="E106" s="23" t="s">
        <x:v>354</x:v>
      </x:c>
      <x:c r="F106" s="23" t="s">
        <x:v>355</x:v>
      </x:c>
      <x:c r="G106" s="23" t="s">
        <x:v>376</x:v>
      </x:c>
      <x:c r="H106" s="23" t="s">
        <x:v>367</x:v>
      </x:c>
      <x:c r="I106" s="23" t="s">
        <x:v>358</x:v>
      </x:c>
      <x:c r="J106" s="23" t="s">
        <x:v>358</x:v>
      </x:c>
      <x:c r="K106" s="23" t="s">
        <x:v>359</x:v>
      </x:c>
      <x:c r="L106" s="23" t="s">
        <x:v>473</x:v>
      </x:c>
    </x:row>
    <x:row r="107" ht="41.400001525878906">
      <x:c r="A107" s="23" t="s">
        <x:v>579</x:v>
      </x:c>
      <x:c r="B107" s="23" t="s">
        <x:v>580</x:v>
      </x:c>
      <x:c r="C107" s="23" t="s">
        <x:v>472</x:v>
      </x:c>
      <x:c r="D107" s="23">
        <x:v>40000</x:v>
      </x:c>
      <x:c r="E107" s="23" t="s">
        <x:v>354</x:v>
      </x:c>
      <x:c r="F107" s="23" t="s">
        <x:v>355</x:v>
      </x:c>
      <x:c r="G107" s="23" t="s">
        <x:v>419</x:v>
      </x:c>
      <x:c r="H107" s="23" t="s">
        <x:v>367</x:v>
      </x:c>
      <x:c r="I107" s="23" t="s">
        <x:v>358</x:v>
      </x:c>
      <x:c r="J107" s="23" t="s">
        <x:v>358</x:v>
      </x:c>
      <x:c r="K107" s="23" t="s">
        <x:v>403</x:v>
      </x:c>
      <x:c r="L107" s="23" t="s">
        <x:v>473</x:v>
      </x:c>
    </x:row>
    <x:row r="108" ht="27.600000381469727">
      <x:c r="A108" s="23" t="s">
        <x:v>581</x:v>
      </x:c>
      <x:c r="B108" s="23" t="s">
        <x:v>582</x:v>
      </x:c>
      <x:c r="C108" s="23" t="s">
        <x:v>472</x:v>
      </x:c>
      <x:c r="D108" s="23">
        <x:v>40000</x:v>
      </x:c>
      <x:c r="E108" s="23" t="s">
        <x:v>354</x:v>
      </x:c>
      <x:c r="F108" s="23" t="s">
        <x:v>355</x:v>
      </x:c>
      <x:c r="G108" s="23" t="s">
        <x:v>419</x:v>
      </x:c>
      <x:c r="H108" s="23" t="s">
        <x:v>367</x:v>
      </x:c>
      <x:c r="I108" s="23" t="s">
        <x:v>358</x:v>
      </x:c>
      <x:c r="J108" s="23" t="s">
        <x:v>358</x:v>
      </x:c>
      <x:c r="K108" s="23" t="s">
        <x:v>403</x:v>
      </x:c>
      <x:c r="L108" s="23" t="s">
        <x:v>473</x:v>
      </x:c>
    </x:row>
    <x:row r="109" ht="27.600000381469727">
      <x:c r="A109" s="23" t="s">
        <x:v>583</x:v>
      </x:c>
      <x:c r="B109" s="23" t="s">
        <x:v>584</x:v>
      </x:c>
      <x:c r="C109" s="23" t="s">
        <x:v>472</x:v>
      </x:c>
      <x:c r="D109" s="23">
        <x:v>40000</x:v>
      </x:c>
      <x:c r="E109" s="23" t="s">
        <x:v>354</x:v>
      </x:c>
      <x:c r="F109" s="23" t="s">
        <x:v>355</x:v>
      </x:c>
      <x:c r="G109" s="23" t="s">
        <x:v>419</x:v>
      </x:c>
      <x:c r="H109" s="23" t="s">
        <x:v>367</x:v>
      </x:c>
      <x:c r="I109" s="23" t="s">
        <x:v>358</x:v>
      </x:c>
      <x:c r="J109" s="23" t="s">
        <x:v>358</x:v>
      </x:c>
      <x:c r="K109" s="23" t="s">
        <x:v>359</x:v>
      </x:c>
      <x:c r="L109" s="23" t="s">
        <x:v>473</x:v>
      </x:c>
    </x:row>
    <x:row r="110" ht="41.400001525878906">
      <x:c r="A110" s="23" t="s">
        <x:v>585</x:v>
      </x:c>
      <x:c r="B110" s="23" t="s">
        <x:v>586</x:v>
      </x:c>
      <x:c r="C110" s="23" t="s">
        <x:v>472</x:v>
      </x:c>
      <x:c r="D110" s="23">
        <x:v>40000</x:v>
      </x:c>
      <x:c r="E110" s="23" t="s">
        <x:v>354</x:v>
      </x:c>
      <x:c r="F110" s="23" t="s">
        <x:v>355</x:v>
      </x:c>
      <x:c r="G110" s="23" t="s">
        <x:v>419</x:v>
      </x:c>
      <x:c r="H110" s="23" t="s">
        <x:v>367</x:v>
      </x:c>
      <x:c r="I110" s="23" t="s">
        <x:v>358</x:v>
      </x:c>
      <x:c r="J110" s="23" t="s">
        <x:v>358</x:v>
      </x:c>
      <x:c r="K110" s="23" t="s">
        <x:v>403</x:v>
      </x:c>
      <x:c r="L110" s="23" t="s">
        <x:v>473</x:v>
      </x:c>
    </x:row>
    <x:row r="111" ht="41.400001525878906">
      <x:c r="A111" s="23" t="s">
        <x:v>587</x:v>
      </x:c>
      <x:c r="B111" s="23" t="s">
        <x:v>588</x:v>
      </x:c>
      <x:c r="C111" s="23" t="s">
        <x:v>472</x:v>
      </x:c>
      <x:c r="D111" s="23">
        <x:v>40000</x:v>
      </x:c>
      <x:c r="E111" s="23" t="s">
        <x:v>354</x:v>
      </x:c>
      <x:c r="F111" s="23" t="s">
        <x:v>355</x:v>
      </x:c>
      <x:c r="G111" s="23" t="s">
        <x:v>419</x:v>
      </x:c>
      <x:c r="H111" s="23" t="s">
        <x:v>367</x:v>
      </x:c>
      <x:c r="I111" s="23" t="s">
        <x:v>358</x:v>
      </x:c>
      <x:c r="J111" s="23" t="s">
        <x:v>358</x:v>
      </x:c>
      <x:c r="K111" s="23" t="s">
        <x:v>359</x:v>
      </x:c>
      <x:c r="L111" s="23" t="s">
        <x:v>473</x:v>
      </x:c>
    </x:row>
    <x:row r="112" ht="27.600000381469727">
      <x:c r="A112" s="23" t="s">
        <x:v>589</x:v>
      </x:c>
      <x:c r="B112" s="23" t="s">
        <x:v>590</x:v>
      </x:c>
      <x:c r="C112" s="23" t="s">
        <x:v>472</x:v>
      </x:c>
      <x:c r="D112" s="23">
        <x:v>40000</x:v>
      </x:c>
      <x:c r="E112" s="23" t="s">
        <x:v>354</x:v>
      </x:c>
      <x:c r="F112" s="23" t="s">
        <x:v>355</x:v>
      </x:c>
      <x:c r="G112" s="23" t="s">
        <x:v>419</x:v>
      </x:c>
      <x:c r="H112" s="23" t="s">
        <x:v>367</x:v>
      </x:c>
      <x:c r="I112" s="23" t="s">
        <x:v>358</x:v>
      </x:c>
      <x:c r="J112" s="23" t="s">
        <x:v>358</x:v>
      </x:c>
      <x:c r="K112" s="23" t="s">
        <x:v>403</x:v>
      </x:c>
      <x:c r="L112" s="23" t="s">
        <x:v>473</x:v>
      </x:c>
    </x:row>
    <x:row r="113" ht="27.600000381469727">
      <x:c r="A113" s="23" t="s">
        <x:v>591</x:v>
      </x:c>
      <x:c r="B113" s="23" t="s">
        <x:v>592</x:v>
      </x:c>
      <x:c r="C113" s="23" t="s">
        <x:v>472</x:v>
      </x:c>
      <x:c r="D113" s="23">
        <x:v>40000</x:v>
      </x:c>
      <x:c r="E113" s="23" t="s">
        <x:v>354</x:v>
      </x:c>
      <x:c r="F113" s="23" t="s">
        <x:v>355</x:v>
      </x:c>
      <x:c r="G113" s="23" t="s">
        <x:v>419</x:v>
      </x:c>
      <x:c r="H113" s="23" t="s">
        <x:v>367</x:v>
      </x:c>
      <x:c r="I113" s="23" t="s">
        <x:v>358</x:v>
      </x:c>
      <x:c r="J113" s="23" t="s">
        <x:v>358</x:v>
      </x:c>
      <x:c r="K113" s="23" t="s">
        <x:v>403</x:v>
      </x:c>
      <x:c r="L113" s="23" t="s">
        <x:v>473</x:v>
      </x:c>
    </x:row>
    <x:row r="114" ht="27.600000381469727">
      <x:c r="A114" s="23" t="s">
        <x:v>593</x:v>
      </x:c>
      <x:c r="B114" s="23" t="s">
        <x:v>594</x:v>
      </x:c>
      <x:c r="C114" s="23" t="s">
        <x:v>472</x:v>
      </x:c>
      <x:c r="D114" s="23">
        <x:v>40000</x:v>
      </x:c>
      <x:c r="E114" s="23" t="s">
        <x:v>354</x:v>
      </x:c>
      <x:c r="F114" s="23" t="s">
        <x:v>355</x:v>
      </x:c>
      <x:c r="G114" s="23" t="s">
        <x:v>419</x:v>
      </x:c>
      <x:c r="H114" s="23" t="s">
        <x:v>367</x:v>
      </x:c>
      <x:c r="I114" s="23" t="s">
        <x:v>358</x:v>
      </x:c>
      <x:c r="J114" s="23" t="s">
        <x:v>358</x:v>
      </x:c>
      <x:c r="K114" s="23" t="s">
        <x:v>359</x:v>
      </x:c>
      <x:c r="L114" s="23" t="s">
        <x:v>473</x:v>
      </x:c>
    </x:row>
    <x:row r="115" ht="27.600000381469727">
      <x:c r="A115" s="23" t="s">
        <x:v>595</x:v>
      </x:c>
      <x:c r="B115" s="23" t="s">
        <x:v>596</x:v>
      </x:c>
      <x:c r="C115" s="23" t="s">
        <x:v>472</x:v>
      </x:c>
      <x:c r="D115" s="23">
        <x:v>40000</x:v>
      </x:c>
      <x:c r="E115" s="23" t="s">
        <x:v>354</x:v>
      </x:c>
      <x:c r="F115" s="23" t="s">
        <x:v>355</x:v>
      </x:c>
      <x:c r="G115" s="23" t="s">
        <x:v>419</x:v>
      </x:c>
      <x:c r="H115" s="23" t="s">
        <x:v>367</x:v>
      </x:c>
      <x:c r="I115" s="23" t="s">
        <x:v>358</x:v>
      </x:c>
      <x:c r="J115" s="23" t="s">
        <x:v>358</x:v>
      </x:c>
      <x:c r="K115" s="23" t="s">
        <x:v>403</x:v>
      </x:c>
      <x:c r="L115" s="23" t="s">
        <x:v>473</x:v>
      </x:c>
    </x:row>
    <x:row r="116" ht="27.600000381469727">
      <x:c r="A116" s="23" t="s">
        <x:v>597</x:v>
      </x:c>
      <x:c r="B116" s="23" t="s">
        <x:v>598</x:v>
      </x:c>
      <x:c r="C116" s="23" t="s">
        <x:v>472</x:v>
      </x:c>
      <x:c r="D116" s="23">
        <x:v>40000</x:v>
      </x:c>
      <x:c r="E116" s="23" t="s">
        <x:v>354</x:v>
      </x:c>
      <x:c r="F116" s="23" t="s">
        <x:v>355</x:v>
      </x:c>
      <x:c r="G116" s="23" t="s">
        <x:v>419</x:v>
      </x:c>
      <x:c r="H116" s="23" t="s">
        <x:v>367</x:v>
      </x:c>
      <x:c r="I116" s="23" t="s">
        <x:v>358</x:v>
      </x:c>
      <x:c r="J116" s="23" t="s">
        <x:v>358</x:v>
      </x:c>
      <x:c r="K116" s="23" t="s">
        <x:v>359</x:v>
      </x:c>
      <x:c r="L116" s="23" t="s">
        <x:v>473</x:v>
      </x:c>
    </x:row>
    <x:row r="117" ht="27.600000381469727">
      <x:c r="A117" s="23" t="s">
        <x:v>599</x:v>
      </x:c>
      <x:c r="B117" s="23" t="s">
        <x:v>600</x:v>
      </x:c>
      <x:c r="C117" s="23" t="s">
        <x:v>472</x:v>
      </x:c>
      <x:c r="D117" s="23">
        <x:v>40000</x:v>
      </x:c>
      <x:c r="E117" s="23" t="s">
        <x:v>354</x:v>
      </x:c>
      <x:c r="F117" s="23" t="s">
        <x:v>355</x:v>
      </x:c>
      <x:c r="G117" s="23" t="s">
        <x:v>419</x:v>
      </x:c>
      <x:c r="H117" s="23" t="s">
        <x:v>367</x:v>
      </x:c>
      <x:c r="I117" s="23" t="s">
        <x:v>358</x:v>
      </x:c>
      <x:c r="J117" s="23" t="s">
        <x:v>358</x:v>
      </x:c>
      <x:c r="K117" s="23" t="s">
        <x:v>359</x:v>
      </x:c>
      <x:c r="L117" s="23" t="s">
        <x:v>473</x:v>
      </x:c>
    </x:row>
    <x:row r="118" ht="27.600000381469727">
      <x:c r="A118" s="23" t="s">
        <x:v>601</x:v>
      </x:c>
      <x:c r="B118" s="23" t="s">
        <x:v>602</x:v>
      </x:c>
      <x:c r="C118" s="23" t="s">
        <x:v>472</x:v>
      </x:c>
      <x:c r="D118" s="23">
        <x:v>45000</x:v>
      </x:c>
      <x:c r="E118" s="23" t="s">
        <x:v>354</x:v>
      </x:c>
      <x:c r="F118" s="23" t="s">
        <x:v>355</x:v>
      </x:c>
      <x:c r="G118" s="23" t="s">
        <x:v>376</x:v>
      </x:c>
      <x:c r="H118" s="23" t="s">
        <x:v>367</x:v>
      </x:c>
      <x:c r="I118" s="23" t="s">
        <x:v>358</x:v>
      </x:c>
      <x:c r="J118" s="23" t="s">
        <x:v>358</x:v>
      </x:c>
      <x:c r="K118" s="23" t="s">
        <x:v>403</x:v>
      </x:c>
      <x:c r="L118" s="23" t="s">
        <x:v>473</x:v>
      </x:c>
    </x:row>
    <x:row r="119" ht="27.600000381469727">
      <x:c r="A119" s="23" t="s">
        <x:v>603</x:v>
      </x:c>
      <x:c r="B119" s="23" t="s">
        <x:v>604</x:v>
      </x:c>
      <x:c r="C119" s="23" t="s">
        <x:v>472</x:v>
      </x:c>
      <x:c r="D119" s="23">
        <x:v>45000</x:v>
      </x:c>
      <x:c r="E119" s="23" t="s">
        <x:v>354</x:v>
      </x:c>
      <x:c r="F119" s="23" t="s">
        <x:v>355</x:v>
      </x:c>
      <x:c r="G119" s="23" t="s">
        <x:v>419</x:v>
      </x:c>
      <x:c r="H119" s="23" t="s">
        <x:v>367</x:v>
      </x:c>
      <x:c r="I119" s="23" t="s">
        <x:v>358</x:v>
      </x:c>
      <x:c r="J119" s="23" t="s">
        <x:v>358</x:v>
      </x:c>
      <x:c r="K119" s="23" t="s">
        <x:v>403</x:v>
      </x:c>
      <x:c r="L119" s="23" t="s">
        <x:v>473</x:v>
      </x:c>
    </x:row>
    <x:row r="120" ht="27.600000381469727">
      <x:c r="A120" s="23" t="s">
        <x:v>605</x:v>
      </x:c>
      <x:c r="B120" s="23" t="s">
        <x:v>606</x:v>
      </x:c>
      <x:c r="C120" s="23" t="s">
        <x:v>472</x:v>
      </x:c>
      <x:c r="D120" s="23">
        <x:v>45000</x:v>
      </x:c>
      <x:c r="E120" s="23" t="s">
        <x:v>354</x:v>
      </x:c>
      <x:c r="F120" s="23" t="s">
        <x:v>355</x:v>
      </x:c>
      <x:c r="G120" s="23" t="s">
        <x:v>419</x:v>
      </x:c>
      <x:c r="H120" s="23" t="s">
        <x:v>367</x:v>
      </x:c>
      <x:c r="I120" s="23" t="s">
        <x:v>358</x:v>
      </x:c>
      <x:c r="J120" s="23" t="s">
        <x:v>358</x:v>
      </x:c>
      <x:c r="K120" s="23" t="s">
        <x:v>359</x:v>
      </x:c>
      <x:c r="L120" s="23" t="s">
        <x:v>473</x:v>
      </x:c>
    </x:row>
    <x:row r="121" ht="41.400001525878906">
      <x:c r="A121" s="23" t="s">
        <x:v>607</x:v>
      </x:c>
      <x:c r="B121" s="23" t="s">
        <x:v>608</x:v>
      </x:c>
      <x:c r="C121" s="23" t="s">
        <x:v>472</x:v>
      </x:c>
      <x:c r="D121" s="23">
        <x:v>45000</x:v>
      </x:c>
      <x:c r="E121" s="23" t="s">
        <x:v>354</x:v>
      </x:c>
      <x:c r="F121" s="23" t="s">
        <x:v>355</x:v>
      </x:c>
      <x:c r="G121" s="23" t="s">
        <x:v>419</x:v>
      </x:c>
      <x:c r="H121" s="23" t="s">
        <x:v>367</x:v>
      </x:c>
      <x:c r="I121" s="23" t="s">
        <x:v>358</x:v>
      </x:c>
      <x:c r="J121" s="23" t="s">
        <x:v>358</x:v>
      </x:c>
      <x:c r="K121" s="23" t="s">
        <x:v>403</x:v>
      </x:c>
      <x:c r="L121" s="23" t="s">
        <x:v>473</x:v>
      </x:c>
    </x:row>
    <x:row r="122" ht="41.400001525878906">
      <x:c r="A122" s="23" t="s">
        <x:v>609</x:v>
      </x:c>
      <x:c r="B122" s="23" t="s">
        <x:v>610</x:v>
      </x:c>
      <x:c r="C122" s="23" t="s">
        <x:v>472</x:v>
      </x:c>
      <x:c r="D122" s="23">
        <x:v>45000</x:v>
      </x:c>
      <x:c r="E122" s="23" t="s">
        <x:v>354</x:v>
      </x:c>
      <x:c r="F122" s="23" t="s">
        <x:v>355</x:v>
      </x:c>
      <x:c r="G122" s="23" t="s">
        <x:v>419</x:v>
      </x:c>
      <x:c r="H122" s="23" t="s">
        <x:v>367</x:v>
      </x:c>
      <x:c r="I122" s="23" t="s">
        <x:v>358</x:v>
      </x:c>
      <x:c r="J122" s="23" t="s">
        <x:v>358</x:v>
      </x:c>
      <x:c r="K122" s="23" t="s">
        <x:v>403</x:v>
      </x:c>
      <x:c r="L122" s="23" t="s">
        <x:v>473</x:v>
      </x:c>
    </x:row>
    <x:row r="123" ht="41.400001525878906">
      <x:c r="A123" s="23" t="s">
        <x:v>611</x:v>
      </x:c>
      <x:c r="B123" s="23" t="s">
        <x:v>612</x:v>
      </x:c>
      <x:c r="C123" s="23" t="s">
        <x:v>472</x:v>
      </x:c>
      <x:c r="D123" s="23">
        <x:v>45000</x:v>
      </x:c>
      <x:c r="E123" s="23" t="s">
        <x:v>354</x:v>
      </x:c>
      <x:c r="F123" s="23" t="s">
        <x:v>355</x:v>
      </x:c>
      <x:c r="G123" s="23" t="s">
        <x:v>419</x:v>
      </x:c>
      <x:c r="H123" s="23" t="s">
        <x:v>367</x:v>
      </x:c>
      <x:c r="I123" s="23" t="s">
        <x:v>358</x:v>
      </x:c>
      <x:c r="J123" s="23" t="s">
        <x:v>358</x:v>
      </x:c>
      <x:c r="K123" s="23" t="s">
        <x:v>359</x:v>
      </x:c>
      <x:c r="L123" s="23" t="s">
        <x:v>473</x:v>
      </x:c>
    </x:row>
    <x:row r="124" ht="27.600000381469727">
      <x:c r="A124" s="23" t="s">
        <x:v>613</x:v>
      </x:c>
      <x:c r="B124" s="23" t="s">
        <x:v>614</x:v>
      </x:c>
      <x:c r="C124" s="23" t="s">
        <x:v>472</x:v>
      </x:c>
      <x:c r="D124" s="23">
        <x:v>45000</x:v>
      </x:c>
      <x:c r="E124" s="23" t="s">
        <x:v>354</x:v>
      </x:c>
      <x:c r="F124" s="23" t="s">
        <x:v>355</x:v>
      </x:c>
      <x:c r="G124" s="23" t="s">
        <x:v>419</x:v>
      </x:c>
      <x:c r="H124" s="23" t="s">
        <x:v>367</x:v>
      </x:c>
      <x:c r="I124" s="23" t="s">
        <x:v>358</x:v>
      </x:c>
      <x:c r="J124" s="23" t="s">
        <x:v>358</x:v>
      </x:c>
      <x:c r="K124" s="23" t="s">
        <x:v>403</x:v>
      </x:c>
      <x:c r="L124" s="23" t="s">
        <x:v>473</x:v>
      </x:c>
    </x:row>
    <x:row r="125" ht="27.600000381469727">
      <x:c r="A125" s="23" t="s">
        <x:v>615</x:v>
      </x:c>
      <x:c r="B125" s="23" t="s">
        <x:v>616</x:v>
      </x:c>
      <x:c r="C125" s="23" t="s">
        <x:v>472</x:v>
      </x:c>
      <x:c r="D125" s="23">
        <x:v>45000</x:v>
      </x:c>
      <x:c r="E125" s="23" t="s">
        <x:v>354</x:v>
      </x:c>
      <x:c r="F125" s="23" t="s">
        <x:v>355</x:v>
      </x:c>
      <x:c r="G125" s="23" t="s">
        <x:v>419</x:v>
      </x:c>
      <x:c r="H125" s="23" t="s">
        <x:v>367</x:v>
      </x:c>
      <x:c r="I125" s="23" t="s">
        <x:v>358</x:v>
      </x:c>
      <x:c r="J125" s="23" t="s">
        <x:v>358</x:v>
      </x:c>
      <x:c r="K125" s="23" t="s">
        <x:v>403</x:v>
      </x:c>
      <x:c r="L125" s="23" t="s">
        <x:v>473</x:v>
      </x:c>
    </x:row>
    <x:row r="126" ht="27.600000381469727">
      <x:c r="A126" s="23" t="s">
        <x:v>617</x:v>
      </x:c>
      <x:c r="B126" s="23" t="s">
        <x:v>618</x:v>
      </x:c>
      <x:c r="C126" s="23" t="s">
        <x:v>472</x:v>
      </x:c>
      <x:c r="D126" s="23">
        <x:v>45000</x:v>
      </x:c>
      <x:c r="E126" s="23" t="s">
        <x:v>354</x:v>
      </x:c>
      <x:c r="F126" s="23" t="s">
        <x:v>355</x:v>
      </x:c>
      <x:c r="G126" s="23" t="s">
        <x:v>419</x:v>
      </x:c>
      <x:c r="H126" s="23" t="s">
        <x:v>367</x:v>
      </x:c>
      <x:c r="I126" s="23" t="s">
        <x:v>358</x:v>
      </x:c>
      <x:c r="J126" s="23" t="s">
        <x:v>358</x:v>
      </x:c>
      <x:c r="K126" s="23" t="s">
        <x:v>359</x:v>
      </x:c>
      <x:c r="L126" s="23" t="s">
        <x:v>473</x:v>
      </x:c>
    </x:row>
    <x:row r="127" ht="27.600000381469727">
      <x:c r="A127" s="23" t="s">
        <x:v>619</x:v>
      </x:c>
      <x:c r="B127" s="23" t="s">
        <x:v>620</x:v>
      </x:c>
      <x:c r="C127" s="23" t="s">
        <x:v>472</x:v>
      </x:c>
      <x:c r="D127" s="23">
        <x:v>45000</x:v>
      </x:c>
      <x:c r="E127" s="23" t="s">
        <x:v>354</x:v>
      </x:c>
      <x:c r="F127" s="23" t="s">
        <x:v>355</x:v>
      </x:c>
      <x:c r="G127" s="23" t="s">
        <x:v>419</x:v>
      </x:c>
      <x:c r="H127" s="23" t="s">
        <x:v>357</x:v>
      </x:c>
      <x:c r="I127" s="23" t="s">
        <x:v>358</x:v>
      </x:c>
      <x:c r="J127" s="23" t="s">
        <x:v>358</x:v>
      </x:c>
      <x:c r="K127" s="23" t="s">
        <x:v>403</x:v>
      </x:c>
      <x:c r="L127" s="23" t="s">
        <x:v>473</x:v>
      </x:c>
    </x:row>
    <x:row r="128" ht="27.600000381469727">
      <x:c r="A128" s="23" t="s">
        <x:v>621</x:v>
      </x:c>
      <x:c r="B128" s="23" t="s">
        <x:v>622</x:v>
      </x:c>
      <x:c r="C128" s="23" t="s">
        <x:v>472</x:v>
      </x:c>
      <x:c r="D128" s="23">
        <x:v>45000</x:v>
      </x:c>
      <x:c r="E128" s="23" t="s">
        <x:v>354</x:v>
      </x:c>
      <x:c r="F128" s="23" t="s">
        <x:v>355</x:v>
      </x:c>
      <x:c r="G128" s="23" t="s">
        <x:v>419</x:v>
      </x:c>
      <x:c r="H128" s="23" t="s">
        <x:v>357</x:v>
      </x:c>
      <x:c r="I128" s="23" t="s">
        <x:v>358</x:v>
      </x:c>
      <x:c r="J128" s="23" t="s">
        <x:v>358</x:v>
      </x:c>
      <x:c r="K128" s="23" t="s">
        <x:v>359</x:v>
      </x:c>
      <x:c r="L128" s="23" t="s">
        <x:v>473</x:v>
      </x:c>
    </x:row>
    <x:row r="129" ht="27.600000381469727">
      <x:c r="A129" s="23" t="s">
        <x:v>623</x:v>
      </x:c>
      <x:c r="B129" s="23" t="s">
        <x:v>624</x:v>
      </x:c>
      <x:c r="C129" s="23" t="s">
        <x:v>472</x:v>
      </x:c>
      <x:c r="D129" s="23">
        <x:v>45000</x:v>
      </x:c>
      <x:c r="E129" s="23" t="s">
        <x:v>354</x:v>
      </x:c>
      <x:c r="F129" s="23" t="s">
        <x:v>355</x:v>
      </x:c>
      <x:c r="G129" s="23" t="s">
        <x:v>419</x:v>
      </x:c>
      <x:c r="H129" s="23" t="s">
        <x:v>357</x:v>
      </x:c>
      <x:c r="I129" s="23" t="s">
        <x:v>358</x:v>
      </x:c>
      <x:c r="J129" s="23" t="s">
        <x:v>358</x:v>
      </x:c>
      <x:c r="K129" s="23" t="s">
        <x:v>359</x:v>
      </x:c>
      <x:c r="L129" s="23" t="s">
        <x:v>473</x:v>
      </x:c>
    </x:row>
    <x:row r="130" ht="27.600000381469727">
      <x:c r="A130" s="23" t="s">
        <x:v>625</x:v>
      </x:c>
      <x:c r="B130" s="23" t="s">
        <x:v>626</x:v>
      </x:c>
      <x:c r="C130" s="23" t="s">
        <x:v>472</x:v>
      </x:c>
      <x:c r="D130" s="23">
        <x:v>48000</x:v>
      </x:c>
      <x:c r="E130" s="23" t="s">
        <x:v>354</x:v>
      </x:c>
      <x:c r="F130" s="23" t="s">
        <x:v>355</x:v>
      </x:c>
      <x:c r="G130" s="23" t="s">
        <x:v>376</x:v>
      </x:c>
      <x:c r="H130" s="23" t="s">
        <x:v>357</x:v>
      </x:c>
      <x:c r="I130" s="23" t="s">
        <x:v>358</x:v>
      </x:c>
      <x:c r="J130" s="23" t="s">
        <x:v>358</x:v>
      </x:c>
      <x:c r="K130" s="23" t="s">
        <x:v>403</x:v>
      </x:c>
      <x:c r="L130" s="23" t="s">
        <x:v>473</x:v>
      </x:c>
    </x:row>
    <x:row r="131" ht="27.600000381469727">
      <x:c r="A131" s="23" t="s">
        <x:v>627</x:v>
      </x:c>
      <x:c r="B131" s="23" t="s">
        <x:v>628</x:v>
      </x:c>
      <x:c r="C131" s="23" t="s">
        <x:v>472</x:v>
      </x:c>
      <x:c r="D131" s="23">
        <x:v>48000</x:v>
      </x:c>
      <x:c r="E131" s="23" t="s">
        <x:v>354</x:v>
      </x:c>
      <x:c r="F131" s="23" t="s">
        <x:v>355</x:v>
      </x:c>
      <x:c r="G131" s="23" t="s">
        <x:v>376</x:v>
      </x:c>
      <x:c r="H131" s="23" t="s">
        <x:v>357</x:v>
      </x:c>
      <x:c r="I131" s="23" t="s">
        <x:v>358</x:v>
      </x:c>
      <x:c r="J131" s="23" t="s">
        <x:v>358</x:v>
      </x:c>
      <x:c r="K131" s="23" t="s">
        <x:v>359</x:v>
      </x:c>
      <x:c r="L131" s="23" t="s">
        <x:v>473</x:v>
      </x:c>
    </x:row>
    <x:row r="132" ht="27.600000381469727">
      <x:c r="A132" s="23" t="s">
        <x:v>629</x:v>
      </x:c>
      <x:c r="B132" s="23" t="s">
        <x:v>630</x:v>
      </x:c>
      <x:c r="C132" s="23" t="s">
        <x:v>631</x:v>
      </x:c>
      <x:c r="D132" s="23"/>
      <x:c r="E132" s="23" t="s">
        <x:v>632</x:v>
      </x:c>
      <x:c r="F132" s="23" t="s">
        <x:v>355</x:v>
      </x:c>
      <x:c r="G132" s="23" t="s">
        <x:v>376</x:v>
      </x:c>
      <x:c r="H132" s="23" t="s">
        <x:v>484</x:v>
      </x:c>
      <x:c r="I132" s="23"/>
      <x:c r="J132" s="23" t="s">
        <x:v>358</x:v>
      </x:c>
      <x:c r="K132" s="23"/>
      <x:c r="L132" s="23"/>
    </x:row>
    <x:row r="133" ht="27.600000381469727">
      <x:c r="A133" s="23" t="s">
        <x:v>633</x:v>
      </x:c>
      <x:c r="B133" s="23" t="s">
        <x:v>634</x:v>
      </x:c>
      <x:c r="C133" s="23" t="s">
        <x:v>631</x:v>
      </x:c>
      <x:c r="D133" s="23"/>
      <x:c r="E133" s="23" t="s">
        <x:v>632</x:v>
      </x:c>
      <x:c r="F133" s="23" t="s">
        <x:v>355</x:v>
      </x:c>
      <x:c r="G133" s="23" t="s">
        <x:v>376</x:v>
      </x:c>
      <x:c r="H133" s="23" t="s">
        <x:v>484</x:v>
      </x:c>
      <x:c r="I133" s="23"/>
      <x:c r="J133" s="23" t="s">
        <x:v>358</x:v>
      </x:c>
      <x:c r="K133" s="23"/>
      <x:c r="L133" s="23"/>
    </x:row>
    <x:row r="134" ht="27.600000381469727">
      <x:c r="A134" s="23" t="s">
        <x:v>635</x:v>
      </x:c>
      <x:c r="B134" s="23" t="s">
        <x:v>636</x:v>
      </x:c>
      <x:c r="C134" s="23" t="s">
        <x:v>631</x:v>
      </x:c>
      <x:c r="D134" s="23"/>
      <x:c r="E134" s="23" t="s">
        <x:v>632</x:v>
      </x:c>
      <x:c r="F134" s="23" t="s">
        <x:v>355</x:v>
      </x:c>
      <x:c r="G134" s="23" t="s">
        <x:v>376</x:v>
      </x:c>
      <x:c r="H134" s="23" t="s">
        <x:v>484</x:v>
      </x:c>
      <x:c r="I134" s="23"/>
      <x:c r="J134" s="23" t="s">
        <x:v>358</x:v>
      </x:c>
      <x:c r="K134" s="23"/>
      <x:c r="L134" s="23"/>
    </x:row>
    <x:row r="135" ht="27.600000381469727">
      <x:c r="A135" s="23" t="s">
        <x:v>637</x:v>
      </x:c>
      <x:c r="B135" s="23" t="s">
        <x:v>638</x:v>
      </x:c>
      <x:c r="C135" s="23" t="s">
        <x:v>631</x:v>
      </x:c>
      <x:c r="D135" s="23"/>
      <x:c r="E135" s="23" t="s">
        <x:v>632</x:v>
      </x:c>
      <x:c r="F135" s="23" t="s">
        <x:v>355</x:v>
      </x:c>
      <x:c r="G135" s="23" t="s">
        <x:v>376</x:v>
      </x:c>
      <x:c r="H135" s="23" t="s">
        <x:v>367</x:v>
      </x:c>
      <x:c r="I135" s="23"/>
      <x:c r="J135" s="23" t="s">
        <x:v>358</x:v>
      </x:c>
      <x:c r="K135" s="23"/>
      <x:c r="L135" s="23"/>
    </x:row>
    <x:row r="136" ht="27.600000381469727">
      <x:c r="A136" s="23" t="s">
        <x:v>639</x:v>
      </x:c>
      <x:c r="B136" s="23" t="s">
        <x:v>640</x:v>
      </x:c>
      <x:c r="C136" s="23" t="s">
        <x:v>631</x:v>
      </x:c>
      <x:c r="D136" s="23"/>
      <x:c r="E136" s="23" t="s">
        <x:v>632</x:v>
      </x:c>
      <x:c r="F136" s="23" t="s">
        <x:v>355</x:v>
      </x:c>
      <x:c r="G136" s="23" t="s">
        <x:v>376</x:v>
      </x:c>
      <x:c r="H136" s="23" t="s">
        <x:v>367</x:v>
      </x:c>
      <x:c r="I136" s="23"/>
      <x:c r="J136" s="23" t="s">
        <x:v>358</x:v>
      </x:c>
      <x:c r="K136" s="23"/>
      <x:c r="L136" s="23"/>
    </x:row>
    <x:row r="137" ht="27.600000381469727">
      <x:c r="A137" s="23" t="s">
        <x:v>641</x:v>
      </x:c>
      <x:c r="B137" s="23" t="s">
        <x:v>642</x:v>
      </x:c>
      <x:c r="C137" s="23" t="s">
        <x:v>631</x:v>
      </x:c>
      <x:c r="D137" s="23"/>
      <x:c r="E137" s="23" t="s">
        <x:v>632</x:v>
      </x:c>
      <x:c r="F137" s="23" t="s">
        <x:v>355</x:v>
      </x:c>
      <x:c r="G137" s="23" t="s">
        <x:v>376</x:v>
      </x:c>
      <x:c r="H137" s="23" t="s">
        <x:v>367</x:v>
      </x:c>
      <x:c r="I137" s="23"/>
      <x:c r="J137" s="23" t="s">
        <x:v>358</x:v>
      </x:c>
      <x:c r="K137" s="23"/>
      <x:c r="L137" s="23"/>
    </x:row>
    <x:row r="138">
      <x:c r="A138" s="23" t="s">
        <x:v>643</x:v>
      </x:c>
      <x:c r="B138" s="23" t="s">
        <x:v>644</x:v>
      </x:c>
      <x:c r="C138" s="23" t="s">
        <x:v>631</x:v>
      </x:c>
      <x:c r="D138" s="23"/>
      <x:c r="E138" s="23" t="s">
        <x:v>354</x:v>
      </x:c>
      <x:c r="F138" s="23" t="s">
        <x:v>355</x:v>
      </x:c>
      <x:c r="G138" s="23" t="s">
        <x:v>645</x:v>
      </x:c>
      <x:c r="H138" s="23" t="s">
        <x:v>367</x:v>
      </x:c>
      <x:c r="I138" s="23"/>
      <x:c r="J138" s="23" t="s">
        <x:v>358</x:v>
      </x:c>
      <x:c r="K138" s="23"/>
      <x:c r="L138" s="23"/>
    </x:row>
    <x:row r="139">
      <x:c r="A139" s="23" t="s">
        <x:v>646</x:v>
      </x:c>
      <x:c r="B139" s="23" t="s">
        <x:v>647</x:v>
      </x:c>
      <x:c r="C139" s="23" t="s">
        <x:v>631</x:v>
      </x:c>
      <x:c r="D139" s="23"/>
      <x:c r="E139" s="23" t="s">
        <x:v>354</x:v>
      </x:c>
      <x:c r="F139" s="23" t="s">
        <x:v>355</x:v>
      </x:c>
      <x:c r="G139" s="23" t="s">
        <x:v>645</x:v>
      </x:c>
      <x:c r="H139" s="23" t="s">
        <x:v>367</x:v>
      </x:c>
      <x:c r="I139" s="23"/>
      <x:c r="J139" s="23" t="s">
        <x:v>358</x:v>
      </x:c>
      <x:c r="K139" s="23"/>
      <x:c r="L139" s="23"/>
    </x:row>
    <x:row r="140" ht="27.600000381469727">
      <x:c r="A140" s="23" t="s">
        <x:v>648</x:v>
      </x:c>
      <x:c r="B140" s="23" t="s">
        <x:v>649</x:v>
      </x:c>
      <x:c r="C140" s="23" t="s">
        <x:v>631</x:v>
      </x:c>
      <x:c r="D140" s="23"/>
      <x:c r="E140" s="23" t="s">
        <x:v>354</x:v>
      </x:c>
      <x:c r="F140" s="23" t="s">
        <x:v>355</x:v>
      </x:c>
      <x:c r="G140" s="23" t="s">
        <x:v>645</x:v>
      </x:c>
      <x:c r="H140" s="23" t="s">
        <x:v>367</x:v>
      </x:c>
      <x:c r="I140" s="23"/>
      <x:c r="J140" s="23" t="s">
        <x:v>358</x:v>
      </x:c>
      <x:c r="K140" s="23"/>
      <x:c r="L140" s="23"/>
    </x:row>
    <x:row r="141" ht="27.600000381469727">
      <x:c r="A141" s="23" t="s">
        <x:v>650</x:v>
      </x:c>
      <x:c r="B141" s="23" t="s">
        <x:v>651</x:v>
      </x:c>
      <x:c r="C141" s="23" t="s">
        <x:v>631</x:v>
      </x:c>
      <x:c r="D141" s="23"/>
      <x:c r="E141" s="23" t="s">
        <x:v>354</x:v>
      </x:c>
      <x:c r="F141" s="23" t="s">
        <x:v>355</x:v>
      </x:c>
      <x:c r="G141" s="23" t="s">
        <x:v>645</x:v>
      </x:c>
      <x:c r="H141" s="23" t="s">
        <x:v>357</x:v>
      </x:c>
      <x:c r="I141" s="23"/>
      <x:c r="J141" s="23" t="s">
        <x:v>358</x:v>
      </x:c>
      <x:c r="K141" s="23"/>
      <x:c r="L141" s="23"/>
    </x:row>
    <x:row r="142" ht="27.600000381469727">
      <x:c r="A142" s="23" t="s">
        <x:v>652</x:v>
      </x:c>
      <x:c r="B142" s="23" t="s">
        <x:v>653</x:v>
      </x:c>
      <x:c r="C142" s="23" t="s">
        <x:v>631</x:v>
      </x:c>
      <x:c r="D142" s="23"/>
      <x:c r="E142" s="23" t="s">
        <x:v>354</x:v>
      </x:c>
      <x:c r="F142" s="23" t="s">
        <x:v>355</x:v>
      </x:c>
      <x:c r="G142" s="23" t="s">
        <x:v>645</x:v>
      </x:c>
      <x:c r="H142" s="23" t="s">
        <x:v>357</x:v>
      </x:c>
      <x:c r="I142" s="23"/>
      <x:c r="J142" s="23" t="s">
        <x:v>358</x:v>
      </x:c>
      <x:c r="K142" s="23"/>
      <x:c r="L142" s="23"/>
    </x:row>
    <x:row r="143" ht="27.600000381469727">
      <x:c r="A143" s="23" t="s">
        <x:v>654</x:v>
      </x:c>
      <x:c r="B143" s="23" t="s">
        <x:v>655</x:v>
      </x:c>
      <x:c r="C143" s="23" t="s">
        <x:v>631</x:v>
      </x:c>
      <x:c r="D143" s="23"/>
      <x:c r="E143" s="23" t="s">
        <x:v>354</x:v>
      </x:c>
      <x:c r="F143" s="23" t="s">
        <x:v>355</x:v>
      </x:c>
      <x:c r="G143" s="23" t="s">
        <x:v>645</x:v>
      </x:c>
      <x:c r="H143" s="23" t="s">
        <x:v>357</x:v>
      </x:c>
      <x:c r="I143" s="23"/>
      <x:c r="J143" s="23" t="s">
        <x:v>358</x:v>
      </x:c>
      <x:c r="K143" s="23"/>
      <x:c r="L143" s="23"/>
    </x:row>
    <x:row r="144" ht="27.600000381469727">
      <x:c r="A144" s="23" t="s">
        <x:v>656</x:v>
      </x:c>
      <x:c r="B144" s="23" t="s">
        <x:v>657</x:v>
      </x:c>
      <x:c r="C144" s="23" t="s">
        <x:v>631</x:v>
      </x:c>
      <x:c r="D144" s="23"/>
      <x:c r="E144" s="23" t="s">
        <x:v>354</x:v>
      </x:c>
      <x:c r="F144" s="23" t="s">
        <x:v>355</x:v>
      </x:c>
      <x:c r="G144" s="23" t="s">
        <x:v>645</x:v>
      </x:c>
      <x:c r="H144" s="23" t="s">
        <x:v>357</x:v>
      </x:c>
      <x:c r="I144" s="23"/>
      <x:c r="J144" s="23" t="s">
        <x:v>358</x:v>
      </x:c>
      <x:c r="K144" s="23"/>
      <x:c r="L144" s="23"/>
    </x:row>
    <x:row r="145" ht="27.600000381469727">
      <x:c r="A145" s="23" t="s">
        <x:v>658</x:v>
      </x:c>
      <x:c r="B145" s="23" t="s">
        <x:v>659</x:v>
      </x:c>
      <x:c r="C145" s="23" t="s">
        <x:v>631</x:v>
      </x:c>
      <x:c r="D145" s="23"/>
      <x:c r="E145" s="23" t="s">
        <x:v>354</x:v>
      </x:c>
      <x:c r="F145" s="23" t="s">
        <x:v>355</x:v>
      </x:c>
      <x:c r="G145" s="23" t="s">
        <x:v>645</x:v>
      </x:c>
      <x:c r="H145" s="23" t="s">
        <x:v>357</x:v>
      </x:c>
      <x:c r="I145" s="23"/>
      <x:c r="J145" s="23" t="s">
        <x:v>358</x:v>
      </x:c>
      <x:c r="K145" s="23"/>
      <x:c r="L145" s="23"/>
    </x:row>
    <x:row r="146" ht="27.600000381469727">
      <x:c r="A146" s="23" t="s">
        <x:v>660</x:v>
      </x:c>
      <x:c r="B146" s="23" t="s">
        <x:v>661</x:v>
      </x:c>
      <x:c r="C146" s="23" t="s">
        <x:v>631</x:v>
      </x:c>
      <x:c r="D146" s="23"/>
      <x:c r="E146" s="23" t="s">
        <x:v>354</x:v>
      </x:c>
      <x:c r="F146" s="23" t="s">
        <x:v>355</x:v>
      </x:c>
      <x:c r="G146" s="23" t="s">
        <x:v>645</x:v>
      </x:c>
      <x:c r="H146" s="23" t="s">
        <x:v>367</x:v>
      </x:c>
      <x:c r="I146" s="23"/>
      <x:c r="J146" s="23" t="s">
        <x:v>358</x:v>
      </x:c>
      <x:c r="K146" s="23"/>
      <x:c r="L146" s="23"/>
    </x:row>
    <x:row r="147" ht="27.600000381469727">
      <x:c r="A147" s="23" t="s">
        <x:v>662</x:v>
      </x:c>
      <x:c r="B147" s="23" t="s">
        <x:v>663</x:v>
      </x:c>
      <x:c r="C147" s="23" t="s">
        <x:v>631</x:v>
      </x:c>
      <x:c r="D147" s="23"/>
      <x:c r="E147" s="23" t="s">
        <x:v>354</x:v>
      </x:c>
      <x:c r="F147" s="23" t="s">
        <x:v>355</x:v>
      </x:c>
      <x:c r="G147" s="23" t="s">
        <x:v>645</x:v>
      </x:c>
      <x:c r="H147" s="23" t="s">
        <x:v>367</x:v>
      </x:c>
      <x:c r="I147" s="23"/>
      <x:c r="J147" s="23" t="s">
        <x:v>358</x:v>
      </x:c>
      <x:c r="K147" s="23"/>
      <x:c r="L147" s="23"/>
    </x:row>
    <x:row r="148" ht="27.600000381469727">
      <x:c r="A148" s="23" t="s">
        <x:v>664</x:v>
      </x:c>
      <x:c r="B148" s="23" t="s">
        <x:v>665</x:v>
      </x:c>
      <x:c r="C148" s="23" t="s">
        <x:v>631</x:v>
      </x:c>
      <x:c r="D148" s="23"/>
      <x:c r="E148" s="23" t="s">
        <x:v>354</x:v>
      </x:c>
      <x:c r="F148" s="23" t="s">
        <x:v>355</x:v>
      </x:c>
      <x:c r="G148" s="23" t="s">
        <x:v>645</x:v>
      </x:c>
      <x:c r="H148" s="23" t="s">
        <x:v>357</x:v>
      </x:c>
      <x:c r="I148" s="23"/>
      <x:c r="J148" s="23" t="s">
        <x:v>358</x:v>
      </x:c>
      <x:c r="K148" s="23"/>
      <x:c r="L148" s="23"/>
    </x:row>
    <x:row r="149" ht="27.600000381469727">
      <x:c r="A149" s="23" t="s">
        <x:v>666</x:v>
      </x:c>
      <x:c r="B149" s="23" t="s">
        <x:v>667</x:v>
      </x:c>
      <x:c r="C149" s="23" t="s">
        <x:v>631</x:v>
      </x:c>
      <x:c r="D149" s="23"/>
      <x:c r="E149" s="23" t="s">
        <x:v>354</x:v>
      </x:c>
      <x:c r="F149" s="23" t="s">
        <x:v>355</x:v>
      </x:c>
      <x:c r="G149" s="23" t="s">
        <x:v>645</x:v>
      </x:c>
      <x:c r="H149" s="23" t="s">
        <x:v>357</x:v>
      </x:c>
      <x:c r="I149" s="23"/>
      <x:c r="J149" s="23" t="s">
        <x:v>358</x:v>
      </x:c>
      <x:c r="K149" s="23"/>
      <x:c r="L149" s="23"/>
    </x:row>
    <x:row r="150" ht="27.600000381469727">
      <x:c r="A150" s="23" t="s">
        <x:v>668</x:v>
      </x:c>
      <x:c r="B150" s="23" t="s">
        <x:v>669</x:v>
      </x:c>
      <x:c r="C150" s="23" t="s">
        <x:v>631</x:v>
      </x:c>
      <x:c r="D150" s="23"/>
      <x:c r="E150" s="23" t="s">
        <x:v>354</x:v>
      </x:c>
      <x:c r="F150" s="23" t="s">
        <x:v>355</x:v>
      </x:c>
      <x:c r="G150" s="23" t="s">
        <x:v>645</x:v>
      </x:c>
      <x:c r="H150" s="23" t="s">
        <x:v>357</x:v>
      </x:c>
      <x:c r="I150" s="23"/>
      <x:c r="J150" s="23" t="s">
        <x:v>358</x:v>
      </x:c>
      <x:c r="K150" s="23"/>
      <x:c r="L150" s="23"/>
    </x:row>
    <x:row r="151" ht="27.600000381469727">
      <x:c r="A151" s="23" t="s">
        <x:v>670</x:v>
      </x:c>
      <x:c r="B151" s="23" t="s">
        <x:v>671</x:v>
      </x:c>
      <x:c r="C151" s="23" t="s">
        <x:v>631</x:v>
      </x:c>
      <x:c r="D151" s="23"/>
      <x:c r="E151" s="23" t="s">
        <x:v>354</x:v>
      </x:c>
      <x:c r="F151" s="23" t="s">
        <x:v>355</x:v>
      </x:c>
      <x:c r="G151" s="23" t="s">
        <x:v>645</x:v>
      </x:c>
      <x:c r="H151" s="23" t="s">
        <x:v>357</x:v>
      </x:c>
      <x:c r="I151" s="23"/>
      <x:c r="J151" s="23" t="s">
        <x:v>358</x:v>
      </x:c>
      <x:c r="K151" s="23"/>
      <x:c r="L151" s="23"/>
    </x:row>
    <x:row r="152" ht="27.600000381469727">
      <x:c r="A152" s="23" t="s">
        <x:v>672</x:v>
      </x:c>
      <x:c r="B152" s="23" t="s">
        <x:v>673</x:v>
      </x:c>
      <x:c r="C152" s="23" t="s">
        <x:v>631</x:v>
      </x:c>
      <x:c r="D152" s="23"/>
      <x:c r="E152" s="23" t="s">
        <x:v>354</x:v>
      </x:c>
      <x:c r="F152" s="23" t="s">
        <x:v>355</x:v>
      </x:c>
      <x:c r="G152" s="23" t="s">
        <x:v>645</x:v>
      </x:c>
      <x:c r="H152" s="23" t="s">
        <x:v>357</x:v>
      </x:c>
      <x:c r="I152" s="23"/>
      <x:c r="J152" s="23" t="s">
        <x:v>358</x:v>
      </x:c>
      <x:c r="K152" s="23"/>
      <x:c r="L152" s="23"/>
    </x:row>
    <x:row r="153" ht="27.600000381469727">
      <x:c r="A153" s="23" t="s">
        <x:v>674</x:v>
      </x:c>
      <x:c r="B153" s="23" t="s">
        <x:v>675</x:v>
      </x:c>
      <x:c r="C153" s="23" t="s">
        <x:v>631</x:v>
      </x:c>
      <x:c r="D153" s="23"/>
      <x:c r="E153" s="23" t="s">
        <x:v>354</x:v>
      </x:c>
      <x:c r="F153" s="23" t="s">
        <x:v>355</x:v>
      </x:c>
      <x:c r="G153" s="23" t="s">
        <x:v>645</x:v>
      </x:c>
      <x:c r="H153" s="23" t="s">
        <x:v>357</x:v>
      </x:c>
      <x:c r="I153" s="23"/>
      <x:c r="J153" s="23" t="s">
        <x:v>358</x:v>
      </x:c>
      <x:c r="K153" s="23"/>
      <x:c r="L153" s="23"/>
    </x:row>
    <x:row r="154" ht="27.600000381469727">
      <x:c r="A154" s="23" t="s">
        <x:v>676</x:v>
      </x:c>
      <x:c r="B154" s="23" t="s">
        <x:v>677</x:v>
      </x:c>
      <x:c r="C154" s="23" t="s">
        <x:v>631</x:v>
      </x:c>
      <x:c r="D154" s="23"/>
      <x:c r="E154" s="23" t="s">
        <x:v>354</x:v>
      </x:c>
      <x:c r="F154" s="23" t="s">
        <x:v>355</x:v>
      </x:c>
      <x:c r="G154" s="23" t="s">
        <x:v>645</x:v>
      </x:c>
      <x:c r="H154" s="23" t="s">
        <x:v>357</x:v>
      </x:c>
      <x:c r="I154" s="23"/>
      <x:c r="J154" s="23" t="s">
        <x:v>358</x:v>
      </x:c>
      <x:c r="K154" s="23"/>
      <x:c r="L154" s="23"/>
    </x:row>
    <x:row r="155" ht="27.600000381469727">
      <x:c r="A155" s="23" t="s">
        <x:v>678</x:v>
      </x:c>
      <x:c r="B155" s="23" t="s">
        <x:v>679</x:v>
      </x:c>
      <x:c r="C155" s="23" t="s">
        <x:v>631</x:v>
      </x:c>
      <x:c r="D155" s="23"/>
      <x:c r="E155" s="23" t="s">
        <x:v>354</x:v>
      </x:c>
      <x:c r="F155" s="23" t="s">
        <x:v>355</x:v>
      </x:c>
      <x:c r="G155" s="23" t="s">
        <x:v>645</x:v>
      </x:c>
      <x:c r="H155" s="23" t="s">
        <x:v>357</x:v>
      </x:c>
      <x:c r="I155" s="23"/>
      <x:c r="J155" s="23" t="s">
        <x:v>358</x:v>
      </x:c>
      <x:c r="K155" s="23"/>
      <x:c r="L155" s="23"/>
    </x:row>
    <x:row r="156" ht="27.600000381469727">
      <x:c r="A156" s="23" t="s">
        <x:v>680</x:v>
      </x:c>
      <x:c r="B156" s="23" t="s">
        <x:v>681</x:v>
      </x:c>
      <x:c r="C156" s="23" t="s">
        <x:v>631</x:v>
      </x:c>
      <x:c r="D156" s="23"/>
      <x:c r="E156" s="23" t="s">
        <x:v>354</x:v>
      </x:c>
      <x:c r="F156" s="23" t="s">
        <x:v>355</x:v>
      </x:c>
      <x:c r="G156" s="23" t="s">
        <x:v>645</x:v>
      </x:c>
      <x:c r="H156" s="23" t="s">
        <x:v>357</x:v>
      </x:c>
      <x:c r="I156" s="23"/>
      <x:c r="J156" s="23" t="s">
        <x:v>358</x:v>
      </x:c>
      <x:c r="K156" s="23"/>
      <x:c r="L156" s="23"/>
    </x:row>
    <x:row r="157" ht="27.600000381469727">
      <x:c r="A157" s="23" t="s">
        <x:v>682</x:v>
      </x:c>
      <x:c r="B157" s="23" t="s">
        <x:v>683</x:v>
      </x:c>
      <x:c r="C157" s="23" t="s">
        <x:v>631</x:v>
      </x:c>
      <x:c r="D157" s="23"/>
      <x:c r="E157" s="23" t="s">
        <x:v>354</x:v>
      </x:c>
      <x:c r="F157" s="23" t="s">
        <x:v>355</x:v>
      </x:c>
      <x:c r="G157" s="23" t="s">
        <x:v>645</x:v>
      </x:c>
      <x:c r="H157" s="23" t="s">
        <x:v>357</x:v>
      </x:c>
      <x:c r="I157" s="23"/>
      <x:c r="J157" s="23" t="s">
        <x:v>358</x:v>
      </x:c>
      <x:c r="K157" s="23"/>
      <x:c r="L157" s="23"/>
    </x:row>
    <x:row r="158" ht="27.600000381469727">
      <x:c r="A158" s="23" t="s">
        <x:v>684</x:v>
      </x:c>
      <x:c r="B158" s="23" t="s">
        <x:v>685</x:v>
      </x:c>
      <x:c r="C158" s="23" t="s">
        <x:v>631</x:v>
      </x:c>
      <x:c r="D158" s="23"/>
      <x:c r="E158" s="23" t="s">
        <x:v>354</x:v>
      </x:c>
      <x:c r="F158" s="23" t="s">
        <x:v>355</x:v>
      </x:c>
      <x:c r="G158" s="23" t="s">
        <x:v>645</x:v>
      </x:c>
      <x:c r="H158" s="23" t="s">
        <x:v>357</x:v>
      </x:c>
      <x:c r="I158" s="23"/>
      <x:c r="J158" s="23" t="s">
        <x:v>358</x:v>
      </x:c>
      <x:c r="K158" s="23"/>
      <x:c r="L158" s="23"/>
    </x:row>
    <x:row r="159" ht="27.600000381469727">
      <x:c r="A159" s="23" t="s">
        <x:v>686</x:v>
      </x:c>
      <x:c r="B159" s="23" t="s">
        <x:v>687</x:v>
      </x:c>
      <x:c r="C159" s="23" t="s">
        <x:v>631</x:v>
      </x:c>
      <x:c r="D159" s="23"/>
      <x:c r="E159" s="23" t="s">
        <x:v>354</x:v>
      </x:c>
      <x:c r="F159" s="23" t="s">
        <x:v>355</x:v>
      </x:c>
      <x:c r="G159" s="23" t="s">
        <x:v>645</x:v>
      </x:c>
      <x:c r="H159" s="23" t="s">
        <x:v>357</x:v>
      </x:c>
      <x:c r="I159" s="23"/>
      <x:c r="J159" s="23" t="s">
        <x:v>358</x:v>
      </x:c>
      <x:c r="K159" s="23"/>
      <x:c r="L159" s="23"/>
    </x:row>
    <x:row r="160" ht="27.600000381469727">
      <x:c r="A160" s="23" t="s">
        <x:v>688</x:v>
      </x:c>
      <x:c r="B160" s="23" t="s">
        <x:v>689</x:v>
      </x:c>
      <x:c r="C160" s="23" t="s">
        <x:v>631</x:v>
      </x:c>
      <x:c r="D160" s="23"/>
      <x:c r="E160" s="23" t="s">
        <x:v>354</x:v>
      </x:c>
      <x:c r="F160" s="23" t="s">
        <x:v>355</x:v>
      </x:c>
      <x:c r="G160" s="23" t="s">
        <x:v>645</x:v>
      </x:c>
      <x:c r="H160" s="23" t="s">
        <x:v>357</x:v>
      </x:c>
      <x:c r="I160" s="23"/>
      <x:c r="J160" s="23" t="s">
        <x:v>358</x:v>
      </x:c>
      <x:c r="K160" s="23"/>
      <x:c r="L160" s="23"/>
    </x:row>
    <x:row r="161" ht="27.600000381469727">
      <x:c r="A161" s="23" t="s">
        <x:v>690</x:v>
      </x:c>
      <x:c r="B161" s="23" t="s">
        <x:v>691</x:v>
      </x:c>
      <x:c r="C161" s="23" t="s">
        <x:v>631</x:v>
      </x:c>
      <x:c r="D161" s="23"/>
      <x:c r="E161" s="23" t="s">
        <x:v>354</x:v>
      </x:c>
      <x:c r="F161" s="23" t="s">
        <x:v>355</x:v>
      </x:c>
      <x:c r="G161" s="23" t="s">
        <x:v>645</x:v>
      </x:c>
      <x:c r="H161" s="23" t="s">
        <x:v>357</x:v>
      </x:c>
      <x:c r="I161" s="23"/>
      <x:c r="J161" s="23" t="s">
        <x:v>358</x:v>
      </x:c>
      <x:c r="K161" s="23"/>
      <x:c r="L161" s="23"/>
    </x:row>
    <x:row r="162" ht="27.600000381469727">
      <x:c r="A162" s="23" t="s">
        <x:v>692</x:v>
      </x:c>
      <x:c r="B162" s="23" t="s">
        <x:v>691</x:v>
      </x:c>
      <x:c r="C162" s="23" t="s">
        <x:v>631</x:v>
      </x:c>
      <x:c r="D162" s="23"/>
      <x:c r="E162" s="23" t="s">
        <x:v>354</x:v>
      </x:c>
      <x:c r="F162" s="23" t="s">
        <x:v>355</x:v>
      </x:c>
      <x:c r="G162" s="23" t="s">
        <x:v>645</x:v>
      </x:c>
      <x:c r="H162" s="23" t="s">
        <x:v>357</x:v>
      </x:c>
      <x:c r="I162" s="23"/>
      <x:c r="J162" s="23" t="s">
        <x:v>358</x:v>
      </x:c>
      <x:c r="K162" s="23"/>
      <x:c r="L162" s="23"/>
    </x:row>
    <x:row r="163" ht="27.600000381469727">
      <x:c r="A163" s="23" t="s">
        <x:v>693</x:v>
      </x:c>
      <x:c r="B163" s="23" t="s">
        <x:v>694</x:v>
      </x:c>
      <x:c r="C163" s="23" t="s">
        <x:v>631</x:v>
      </x:c>
      <x:c r="D163" s="23"/>
      <x:c r="E163" s="23" t="s">
        <x:v>354</x:v>
      </x:c>
      <x:c r="F163" s="23" t="s">
        <x:v>355</x:v>
      </x:c>
      <x:c r="G163" s="23" t="s">
        <x:v>645</x:v>
      </x:c>
      <x:c r="H163" s="23" t="s">
        <x:v>357</x:v>
      </x:c>
      <x:c r="I163" s="23"/>
      <x:c r="J163" s="23" t="s">
        <x:v>358</x:v>
      </x:c>
      <x:c r="K163" s="23"/>
      <x:c r="L163" s="23"/>
    </x:row>
    <x:row r="164" ht="27.600000381469727">
      <x:c r="A164" s="23" t="s">
        <x:v>695</x:v>
      </x:c>
      <x:c r="B164" s="23" t="s">
        <x:v>696</x:v>
      </x:c>
      <x:c r="C164" s="23" t="s">
        <x:v>631</x:v>
      </x:c>
      <x:c r="D164" s="23"/>
      <x:c r="E164" s="23" t="s">
        <x:v>354</x:v>
      </x:c>
      <x:c r="F164" s="23" t="s">
        <x:v>355</x:v>
      </x:c>
      <x:c r="G164" s="23" t="s">
        <x:v>645</x:v>
      </x:c>
      <x:c r="H164" s="23" t="s">
        <x:v>357</x:v>
      </x:c>
      <x:c r="I164" s="23"/>
      <x:c r="J164" s="23" t="s">
        <x:v>358</x:v>
      </x:c>
      <x:c r="K164" s="23"/>
      <x:c r="L164" s="23"/>
    </x:row>
    <x:row r="165" ht="27.600000381469727">
      <x:c r="A165" s="23" t="s">
        <x:v>697</x:v>
      </x:c>
      <x:c r="B165" s="23" t="s">
        <x:v>698</x:v>
      </x:c>
      <x:c r="C165" s="23" t="s">
        <x:v>631</x:v>
      </x:c>
      <x:c r="D165" s="23"/>
      <x:c r="E165" s="23" t="s">
        <x:v>354</x:v>
      </x:c>
      <x:c r="F165" s="23" t="s">
        <x:v>355</x:v>
      </x:c>
      <x:c r="G165" s="23" t="s">
        <x:v>645</x:v>
      </x:c>
      <x:c r="H165" s="23" t="s">
        <x:v>357</x:v>
      </x:c>
      <x:c r="I165" s="23"/>
      <x:c r="J165" s="23" t="s">
        <x:v>358</x:v>
      </x:c>
      <x:c r="K165" s="23"/>
      <x:c r="L165" s="23"/>
    </x:row>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3.800000190734863"/>
  <x:cols>
    <x:col min="1" max="1" width="31.09765625" customWidth="1"/>
    <x:col min="2" max="2" width="29.296875" customWidth="1"/>
  </x:cols>
  <x:sheetData>
    <x:row r="1" ht="27.600000381469727">
      <x:c r="A1" s="24" t="s">
        <x:v>699</x:v>
      </x:c>
      <x:c r="B1" s="24"/>
    </x:row>
    <x:row r="2">
      <x:c r="A2" s="24" t="s">
        <x:v>700</x:v>
      </x:c>
      <x:c r="B2" s="24"/>
    </x:row>
    <x:row r="3" ht="41.400001525878906">
      <x:c r="A3" s="23" t="s">
        <x:v>701</x:v>
      </x:c>
      <x:c r="B3" s="23"/>
    </x:row>
    <x:row r="4" ht="27.600000381469727">
      <x:c r="A4" s="23" t="s">
        <x:v>702</x:v>
      </x:c>
      <x:c r="B4" s="23" t="s">
        <x:v>703</x:v>
      </x:c>
    </x:row>
    <x:row r="5">
      <x:c r="A5" s="23" t="s">
        <x:v>224</x:v>
      </x:c>
      <x:c r="B5" s="23" t="s">
        <x:v>225</x:v>
      </x:c>
    </x:row>
    <x:row r="6">
      <x:c r="A6" s="23" t="s">
        <x:v>228</x:v>
      </x:c>
      <x:c r="B6" s="23" t="s">
        <x:v>229</x:v>
      </x:c>
    </x:row>
    <x:row r="7">
      <x:c r="A7" s="23" t="s">
        <x:v>232</x:v>
      </x:c>
      <x:c r="B7" s="23" t="s">
        <x:v>233</x:v>
      </x:c>
    </x:row>
    <x:row r="8">
      <x:c r="A8" s="23" t="s">
        <x:v>236</x:v>
      </x:c>
      <x:c r="B8" s="23" t="s">
        <x:v>225</x:v>
      </x:c>
    </x:row>
    <x:row r="9">
      <x:c r="A9" s="23" t="s">
        <x:v>238</x:v>
      </x:c>
      <x:c r="B9" s="23" t="s">
        <x:v>225</x:v>
      </x:c>
    </x:row>
    <x:row r="10">
      <x:c r="A10" s="23" t="s">
        <x:v>241</x:v>
      </x:c>
      <x:c r="B10" s="23" t="s">
        <x:v>242</x:v>
      </x:c>
    </x:row>
    <x:row r="11">
      <x:c r="A11" s="23" t="s">
        <x:v>244</x:v>
      </x:c>
      <x:c r="B11" s="23" t="s">
        <x:v>245</x:v>
      </x:c>
    </x:row>
    <x:row r="12">
      <x:c r="A12" s="23" t="s">
        <x:v>247</x:v>
      </x:c>
      <x:c r="B12" s="23" t="s">
        <x:v>248</x:v>
      </x:c>
    </x:row>
    <x:row r="13">
      <x:c r="A13" s="23" t="s">
        <x:v>249</x:v>
      </x:c>
      <x:c r="B13" s="23" t="s">
        <x:v>250</x:v>
      </x:c>
    </x:row>
    <x:row r="14">
      <x:c r="A14" s="23" t="s">
        <x:v>704</x:v>
      </x:c>
      <x:c r="B14" s="23" t="s">
        <x:v>242</x:v>
      </x:c>
    </x:row>
    <x:row r="15">
      <x:c r="A15" s="23" t="s">
        <x:v>705</x:v>
      </x:c>
      <x:c r="B15" s="23" t="s">
        <x:v>79</x:v>
      </x:c>
    </x:row>
    <x:row r="16">
      <x:c r="A16" s="23" t="s">
        <x:v>706</x:v>
      </x:c>
      <x:c r="B16" s="23" t="s">
        <x:v>233</x:v>
      </x:c>
    </x:row>
    <x:row r="17" ht="27.600000381469727">
      <x:c r="A17" s="23" t="s">
        <x:v>707</x:v>
      </x:c>
      <x:c r="B17" s="23" t="s">
        <x:v>708</x:v>
      </x:c>
    </x:row>
    <x:row r="18">
      <x:c r="A18" s="23" t="s">
        <x:v>256</x:v>
      </x:c>
      <x:c r="B18" s="23" t="s">
        <x:v>257</x:v>
      </x:c>
    </x:row>
    <x:row r="19">
      <x:c r="A19" s="23" t="s">
        <x:v>258</x:v>
      </x:c>
      <x:c r="B19" s="23" t="s">
        <x:v>225</x:v>
      </x:c>
    </x:row>
    <x:row r="20">
      <x:c r="A20" s="23" t="s">
        <x:v>259</x:v>
      </x:c>
      <x:c r="B20" s="23" t="s">
        <x:v>242</x:v>
      </x:c>
    </x:row>
    <x:row r="21">
      <x:c r="A21" s="23"/>
      <x:c r="B21" s="23"/>
    </x:row>
    <x:row r="22" ht="55.20000076293945">
      <x:c r="A22" s="23" t="s">
        <x:v>709</x:v>
      </x:c>
      <x:c r="B22" s="23"/>
    </x:row>
    <x:row r="23" ht="41.400001525878906">
      <x:c r="A23" s="23" t="s">
        <x:v>710</x:v>
      </x:c>
      <x:c r="B23" s="23"/>
    </x:row>
    <x:row r="24" ht="41.400001525878906">
      <x:c r="A24" s="23" t="s">
        <x:v>711</x:v>
      </x:c>
      <x:c r="B24" s="23"/>
    </x:row>
  </x:sheetData>
  <x:pageMargins left="0.7" right="0.7" top="0.75" bottom="0.75" header="0.3" footer="0.3"/>
</x:worksheet>
</file>